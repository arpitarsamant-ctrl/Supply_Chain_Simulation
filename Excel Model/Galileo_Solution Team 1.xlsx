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 codeName="ThisWorkbook" defaultThemeVersion="166925"/>
  <xr:revisionPtr revIDLastSave="0" documentId="13_ncr:1_{41CD239C-DFDF-1543-8E7B-0A326EBDB16E}" xr6:coauthVersionLast="47" xr6:coauthVersionMax="47" xr10:uidLastSave="{00000000-0000-0000-0000-000000000000}"/>
  <bookViews>
    <workbookView xWindow="0" yWindow="780" windowWidth="34200" windowHeight="21460" activeTab="3" xr2:uid="{00000000-000D-0000-FFFF-FFFF00000000}"/>
  </bookViews>
  <sheets>
    <sheet name="Input_Output" sheetId="1" r:id="rId1"/>
    <sheet name="Input_Output_Second" sheetId="4" r:id="rId2"/>
    <sheet name="SensIt Tornado 2" sheetId="6" r:id="rId3"/>
    <sheet name="SensIt Tornado 1" sheetId="3" r:id="rId4"/>
    <sheet name="Cash Flow" sheetId="2" r:id="rId5"/>
  </sheets>
  <definedNames>
    <definedName name="Conversion_rate" localSheetId="1">Input_Output_Second!$B$13</definedName>
    <definedName name="Conversion_rate">Input_Output!$B$13</definedName>
    <definedName name="Cost_other_parts" localSheetId="1">Input_Output_Second!$B$14</definedName>
    <definedName name="Cost_other_parts">Input_Output!$B$14</definedName>
    <definedName name="Eyep_per_bino" localSheetId="1">Input_Output_Second!$B$3</definedName>
    <definedName name="Eyep_per_bino">Input_Output!$B$3</definedName>
    <definedName name="K_capacity" localSheetId="1">Input_Output_Second!$B$9</definedName>
    <definedName name="K_capacity">Input_Output!$B$9</definedName>
    <definedName name="K_premium_price" localSheetId="1">Input_Output_Second!$B$8</definedName>
    <definedName name="K_premium_price">Input_Output!$B$8</definedName>
    <definedName name="K_price" localSheetId="1">Input_Output_Second!$B$7</definedName>
    <definedName name="K_price">Input_Output!$B$7</definedName>
    <definedName name="Labor_cost" localSheetId="1">Input_Output_Second!$B$15</definedName>
    <definedName name="Labor_cost">Input_Output!$B$15</definedName>
    <definedName name="Order_quant" localSheetId="1">Input_Output_Second!$B$1</definedName>
    <definedName name="Order_quant">Input_Output!$B$1</definedName>
    <definedName name="_xlnm.Print_Area" localSheetId="4">'Cash Flow'!$A$1:$D$26</definedName>
    <definedName name="_xlnm.Print_Area" localSheetId="3">'SensIt Tornado 1'!$A$1:$I$44</definedName>
    <definedName name="_xlnm.Print_Area" localSheetId="2">'SensIt Tornado 2'!$A$1:$I$44</definedName>
    <definedName name="Revenue_per_unit" localSheetId="1">Input_Output_Second!$B$4</definedName>
    <definedName name="Revenue_per_unit">Input_Output!$B$4</definedName>
    <definedName name="Salvage_value_eyep" localSheetId="1">Input_Output_Second!$B$16</definedName>
    <definedName name="Salvage_value_eyep">Input_Output!$B$16</definedName>
    <definedName name="Salvage_value_other" localSheetId="1">Input_Output_Second!$B$17</definedName>
    <definedName name="Salvage_value_other">Input_Output!$B$17</definedName>
    <definedName name="SensItManyInOneOutRefEditBaseCase" localSheetId="0" hidden="1">Input_Output!$E$11:$E$19</definedName>
    <definedName name="SensItManyInOneOutRefEditBaseCase" localSheetId="1" hidden="1">Input_Output_Second!$E$11:$E$19</definedName>
    <definedName name="SensItManyInOneOutRefEditInputLabels" localSheetId="0" hidden="1">Input_Output!$A$11:$A$19</definedName>
    <definedName name="SensItManyInOneOutRefEditInputLabels" localSheetId="1" hidden="1">Input_Output_Second!$A$11:$A$19</definedName>
    <definedName name="SensItManyInOneOutRefEditInputValues" localSheetId="0" hidden="1">Input_Output!$B$11:$B$19</definedName>
    <definedName name="SensItManyInOneOutRefEditInputValues" localSheetId="1" hidden="1">Input_Output_Second!$B$11:$B$19</definedName>
    <definedName name="SensItManyInOneOutRefEditOneExtreme" localSheetId="0" hidden="1">Input_Output!$D$11:$D$19</definedName>
    <definedName name="SensItManyInOneOutRefEditOneExtreme" localSheetId="1" hidden="1">Input_Output_Second!$D$11:$D$19</definedName>
    <definedName name="SensItManyInOneOutRefEditOtherExtreme" localSheetId="0" hidden="1">Input_Output!$F$11:$F$19</definedName>
    <definedName name="SensItManyInOneOutRefEditOtherExtreme" localSheetId="1" hidden="1">Input_Output_Second!$F$11:$F$19</definedName>
    <definedName name="SensItManyInOneOutRefEditOutputLabel" localSheetId="0" hidden="1">Input_Output!$A$21</definedName>
    <definedName name="SensItManyInOneOutRefEditOutputLabel" localSheetId="1" hidden="1">Input_Output_Second!$A$21</definedName>
    <definedName name="SensItManyInOneOutRefEditOutputValue" localSheetId="0" hidden="1">Input_Output!$B$21</definedName>
    <definedName name="SensItManyInOneOutRefEditOutputValue" localSheetId="1" hidden="1">Input_Output_Second!$B$21</definedName>
    <definedName name="T_daily_capacity" localSheetId="1">Input_Output_Second!$B$12</definedName>
    <definedName name="T_daily_capacity">Input_Output!$B$12</definedName>
    <definedName name="T_price" localSheetId="1">Input_Output_Second!$B$19</definedName>
    <definedName name="T_price">Input_Output!$B$19</definedName>
    <definedName name="T_starting_day" localSheetId="1">Input_Output_Second!$B$11</definedName>
    <definedName name="T_starting_day">Input_Output!$B$11</definedName>
    <definedName name="Time_assemble_test" localSheetId="1">Input_Output_Second!$B$18</definedName>
    <definedName name="Time_assemble_test">Input_Output!$B$18</definedName>
    <definedName name="Time_to_delivery" localSheetId="1">Input_Output_Second!$B$6</definedName>
    <definedName name="Time_to_delivery">Input_Output!$B$6</definedName>
    <definedName name="Total_demand" localSheetId="1">Input_Output_Second!$B$5</definedName>
    <definedName name="Total_demand">Input_Output!$B$5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4" l="1"/>
  <c r="L8" i="4"/>
  <c r="L5" i="4"/>
  <c r="L21" i="4" s="1"/>
  <c r="L4" i="4"/>
  <c r="L19" i="4" s="1"/>
  <c r="L8" i="1"/>
  <c r="L4" i="1"/>
  <c r="L19" i="1" s="1"/>
  <c r="L22" i="1"/>
  <c r="L5" i="1"/>
  <c r="L21" i="1" s="1"/>
  <c r="D4" i="2"/>
  <c r="D19" i="2" s="1"/>
  <c r="L20" i="4" l="1"/>
  <c r="L9" i="4"/>
  <c r="L20" i="1"/>
  <c r="L9" i="1"/>
  <c r="D8" i="2"/>
  <c r="L10" i="4" l="1"/>
  <c r="L14" i="4" s="1"/>
  <c r="L10" i="1"/>
  <c r="D5" i="2"/>
  <c r="L13" i="4" l="1"/>
  <c r="L15" i="4"/>
  <c r="L23" i="4"/>
  <c r="L24" i="4" s="1"/>
  <c r="L13" i="1"/>
  <c r="L15" i="1"/>
  <c r="L14" i="1"/>
  <c r="L23" i="1"/>
  <c r="L24" i="1" s="1"/>
  <c r="D20" i="2"/>
  <c r="D21" i="2"/>
  <c r="D22" i="2"/>
  <c r="L16" i="4" l="1"/>
  <c r="L26" i="4" s="1"/>
  <c r="B21" i="4" s="1"/>
  <c r="L16" i="1"/>
  <c r="L26" i="1" s="1"/>
  <c r="B21" i="1" s="1"/>
  <c r="D9" i="2"/>
  <c r="D10" i="2" l="1"/>
  <c r="D23" i="2" l="1"/>
  <c r="D24" i="2" s="1"/>
  <c r="D13" i="2"/>
  <c r="D15" i="2"/>
  <c r="D14" i="2"/>
  <c r="D16" i="2" l="1"/>
  <c r="D26" i="2" s="1"/>
</calcChain>
</file>

<file path=xl/sharedStrings.xml><?xml version="1.0" encoding="utf-8"?>
<sst xmlns="http://schemas.openxmlformats.org/spreadsheetml/2006/main" count="177" uniqueCount="65">
  <si>
    <t>Total Profit</t>
  </si>
  <si>
    <t>Kunshan supplier price per eyepiece (RMB)</t>
  </si>
  <si>
    <t>Taizhou supplier price per eyepiece (RMB)</t>
  </si>
  <si>
    <t>(October 11 to November 15)</t>
  </si>
  <si>
    <t>Time to assemble and test after receiving eyepieces (days)</t>
  </si>
  <si>
    <t>(August 12 to November 15)</t>
  </si>
  <si>
    <t>Time to delivery (days)</t>
  </si>
  <si>
    <t>Total demand (# of binoculars)</t>
  </si>
  <si>
    <t>Salvage value per eyepiece (RMB)</t>
  </si>
  <si>
    <t>Labor cost per binocular (RMB)</t>
  </si>
  <si>
    <t>Cost for other parts (RMB)</t>
  </si>
  <si>
    <t>RMB per USD</t>
  </si>
  <si>
    <t>Taizhou supplier daily capacity (# of eyepieces)</t>
  </si>
  <si>
    <t>(5 weeks from August 12)</t>
  </si>
  <si>
    <t>Taizhou supplier resume in (days)</t>
  </si>
  <si>
    <t>High</t>
  </si>
  <si>
    <t>Base</t>
  </si>
  <si>
    <t>Low</t>
  </si>
  <si>
    <t>Eyepeices per binocular</t>
  </si>
  <si>
    <t>Kunshan Order quantity  (# of eyepieces)</t>
  </si>
  <si>
    <t>Eyepieces from Kunshan</t>
  </si>
  <si>
    <t>Eyepieces from Taizhou</t>
  </si>
  <si>
    <t>Operations costs (in RMB)</t>
  </si>
  <si>
    <t>Eyepiece Orders</t>
  </si>
  <si>
    <t>Paid to Taizhou</t>
  </si>
  <si>
    <t>Revenue &amp; Future Credits (in RMB)</t>
  </si>
  <si>
    <t>Cash Flow Analysis</t>
  </si>
  <si>
    <t>Revenue from binoculars</t>
  </si>
  <si>
    <t>Binoculars Sold</t>
  </si>
  <si>
    <t>Total demand</t>
  </si>
  <si>
    <t>Total Sold</t>
  </si>
  <si>
    <t>Total eyepieces</t>
  </si>
  <si>
    <t>Labor costs</t>
  </si>
  <si>
    <t>Total costs</t>
  </si>
  <si>
    <t>Total credits</t>
  </si>
  <si>
    <t>Total profit</t>
  </si>
  <si>
    <t>Revenue per unit (USD)</t>
  </si>
  <si>
    <t>Kunshan regular capacity (# of eyepieces)</t>
  </si>
  <si>
    <t>Kunshan premium price (RMB)</t>
  </si>
  <si>
    <t>Paid to Kunshan (regular price)</t>
  </si>
  <si>
    <t>Paid to Kunshan (premium price)</t>
  </si>
  <si>
    <t>Costs of other parts</t>
  </si>
  <si>
    <t>Total salvage value from other parts</t>
  </si>
  <si>
    <t>Total salvage value from eyepieces</t>
  </si>
  <si>
    <t>Salvage value of other parts per binocular (RMB)</t>
  </si>
  <si>
    <t>TreePlan.com</t>
  </si>
  <si>
    <t>Many Inputs, One Output</t>
  </si>
  <si>
    <t>Single-Factor Sensitivity Analysis</t>
  </si>
  <si>
    <t xml:space="preserve">Date </t>
  </si>
  <si>
    <t xml:space="preserve">Time </t>
  </si>
  <si>
    <t xml:space="preserve">Workbook </t>
  </si>
  <si>
    <t>GalileoBasicCalc_Data_A.xlsx</t>
  </si>
  <si>
    <t xml:space="preserve">Output Cell </t>
  </si>
  <si>
    <t>Input_Output!$B$21</t>
  </si>
  <si>
    <t>Corresponding Input Value</t>
  </si>
  <si>
    <t>Output Value</t>
  </si>
  <si>
    <t>Percent</t>
  </si>
  <si>
    <t>Input Variable</t>
  </si>
  <si>
    <t>Swing</t>
  </si>
  <si>
    <t>Swing^2</t>
  </si>
  <si>
    <t>Low Output</t>
  </si>
  <si>
    <t>Base Case</t>
  </si>
  <si>
    <t>High Output</t>
  </si>
  <si>
    <t>SensIt 162, Only For Student Use</t>
  </si>
  <si>
    <t>Input_Output_Second!$B$21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</si>
</sst>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 [$¥-804]* #,##0.00_ ;_ [$¥-804]* \-#,##0.00_ ;_ [$¥-804]* &quot;-&quot;??_ ;_ @_ "/>
    <numFmt numFmtId="165" formatCode="[$¥-804]#,##0.00;[Red][$¥-804]#,##0.00"/>
    <numFmt numFmtId="166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2" applyNumberFormat="1" applyFont="1" applyBorder="1"/>
    <xf numFmtId="0" fontId="0" fillId="0" borderId="0" xfId="2" applyNumberFormat="1" applyFont="1" applyFill="1" applyBorder="1"/>
    <xf numFmtId="0" fontId="5" fillId="0" borderId="0" xfId="0" applyFont="1"/>
    <xf numFmtId="0" fontId="0" fillId="0" borderId="3" xfId="0" applyBorder="1"/>
    <xf numFmtId="0" fontId="0" fillId="2" borderId="4" xfId="0" applyFill="1" applyBorder="1"/>
    <xf numFmtId="0" fontId="0" fillId="0" borderId="4" xfId="0" applyBorder="1"/>
    <xf numFmtId="0" fontId="0" fillId="2" borderId="3" xfId="0" applyFill="1" applyBorder="1"/>
    <xf numFmtId="0" fontId="0" fillId="2" borderId="4" xfId="2" applyNumberFormat="1" applyFont="1" applyFill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2" applyNumberFormat="1" applyFont="1" applyBorder="1"/>
    <xf numFmtId="0" fontId="0" fillId="2" borderId="5" xfId="0" applyFill="1" applyBorder="1"/>
    <xf numFmtId="0" fontId="0" fillId="2" borderId="6" xfId="0" applyFill="1" applyBorder="1"/>
    <xf numFmtId="0" fontId="0" fillId="0" borderId="10" xfId="0" applyBorder="1"/>
    <xf numFmtId="0" fontId="0" fillId="0" borderId="6" xfId="0" applyBorder="1"/>
    <xf numFmtId="0" fontId="0" fillId="0" borderId="4" xfId="2" applyNumberFormat="1" applyFont="1" applyFill="1" applyBorder="1"/>
    <xf numFmtId="0" fontId="0" fillId="0" borderId="11" xfId="0" applyBorder="1"/>
    <xf numFmtId="0" fontId="0" fillId="2" borderId="11" xfId="0" applyFill="1" applyBorder="1"/>
    <xf numFmtId="0" fontId="2" fillId="5" borderId="11" xfId="0" applyFont="1" applyFill="1" applyBorder="1"/>
    <xf numFmtId="165" fontId="0" fillId="2" borderId="11" xfId="1" applyNumberFormat="1" applyFont="1" applyFill="1" applyBorder="1"/>
    <xf numFmtId="0" fontId="0" fillId="4" borderId="11" xfId="0" applyFill="1" applyBorder="1"/>
    <xf numFmtId="165" fontId="0" fillId="4" borderId="11" xfId="1" applyNumberFormat="1" applyFont="1" applyFill="1" applyBorder="1"/>
    <xf numFmtId="165" fontId="2" fillId="5" borderId="11" xfId="1" applyNumberFormat="1" applyFont="1" applyFill="1" applyBorder="1"/>
    <xf numFmtId="0" fontId="3" fillId="2" borderId="11" xfId="0" applyFont="1" applyFill="1" applyBorder="1"/>
    <xf numFmtId="165" fontId="3" fillId="2" borderId="11" xfId="1" applyNumberFormat="1" applyFont="1" applyFill="1" applyBorder="1"/>
    <xf numFmtId="0" fontId="3" fillId="4" borderId="11" xfId="0" applyFont="1" applyFill="1" applyBorder="1"/>
    <xf numFmtId="165" fontId="3" fillId="4" borderId="11" xfId="1" applyNumberFormat="1" applyFont="1" applyFill="1" applyBorder="1"/>
    <xf numFmtId="165" fontId="0" fillId="2" borderId="11" xfId="0" applyNumberFormat="1" applyFill="1" applyBorder="1"/>
    <xf numFmtId="0" fontId="0" fillId="3" borderId="11" xfId="0" applyFill="1" applyBorder="1"/>
    <xf numFmtId="165" fontId="0" fillId="3" borderId="11" xfId="0" applyNumberFormat="1" applyFill="1" applyBorder="1"/>
    <xf numFmtId="0" fontId="6" fillId="0" borderId="1" xfId="0" applyFont="1" applyBorder="1"/>
    <xf numFmtId="0" fontId="6" fillId="6" borderId="2" xfId="0" applyFont="1" applyFill="1" applyBorder="1"/>
    <xf numFmtId="0" fontId="4" fillId="2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5" borderId="11" xfId="0" applyFont="1" applyFill="1" applyBorder="1" applyAlignment="1">
      <alignment horizontal="left" readingOrder="1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applyNumberFormat="1"/>
    <xf numFmtId="0" fontId="0" fillId="0" borderId="10" xfId="0" applyNumberFormat="1" applyBorder="1"/>
    <xf numFmtId="164" fontId="0" fillId="0" borderId="0" xfId="0" applyNumberFormat="1"/>
    <xf numFmtId="0" fontId="0" fillId="0" borderId="0" xfId="0" applyNumberFormat="1" applyBorder="1"/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2" borderId="14" xfId="0" applyFill="1" applyBorder="1"/>
    <xf numFmtId="0" fontId="0" fillId="0" borderId="15" xfId="0" applyBorder="1"/>
    <xf numFmtId="0" fontId="0" fillId="0" borderId="0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7" xfId="2" applyNumberFormat="1" applyFont="1" applyBorder="1"/>
    <xf numFmtId="0" fontId="0" fillId="0" borderId="18" xfId="0" applyNumberFormat="1" applyBorder="1"/>
    <xf numFmtId="0" fontId="0" fillId="0" borderId="0" xfId="0" applyBorder="1" applyAlignment="1">
      <alignment horizontal="right"/>
    </xf>
    <xf numFmtId="164" fontId="0" fillId="0" borderId="16" xfId="0" applyNumberFormat="1" applyBorder="1"/>
    <xf numFmtId="164" fontId="0" fillId="0" borderId="17" xfId="0" applyNumberFormat="1" applyBorder="1"/>
    <xf numFmtId="0" fontId="0" fillId="0" borderId="10" xfId="2" applyNumberFormat="1" applyFont="1" applyBorder="1"/>
    <xf numFmtId="0" fontId="0" fillId="2" borderId="15" xfId="0" applyFill="1" applyBorder="1"/>
    <xf numFmtId="0" fontId="0" fillId="0" borderId="16" xfId="2" applyNumberFormat="1" applyFont="1" applyBorder="1"/>
    <xf numFmtId="0" fontId="0" fillId="0" borderId="18" xfId="2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0F0F0"/>
      <color rgb="FFF7F7F7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/>
            </a:pPr>
            <a:r>
              <a:rPr lang="en-US" sz="1000" b="0" i="0"/>
              <a:t>SensIt 162 Student Version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Bars on Left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'SensIt Tornado 2'!$B$11</c:f>
                  <c:strCache>
                    <c:ptCount val="1"/>
                    <c:pt idx="0">
                      <c:v>6.7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{DE32C074-DC32-8B4C-80ED-4C2E650BF442}</c15:txfldGUID>
                      <c15:f>'SensIt Tornado 2'!$B$11</c15:f>
                      <c15:dlblFieldTableCache>
                        <c:ptCount val="1"/>
                        <c:pt idx="0">
                          <c:v>6.7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489-AD4C-80A8-04839E3BFF7E}"/>
                </c:ext>
              </c:extLst>
            </c:dLbl>
            <c:dLbl>
              <c:idx val="1"/>
              <c:tx>
                <c:strRef>
                  <c:f>'SensIt Tornado 2'!$B$12</c:f>
                  <c:strCache>
                    <c:ptCount val="1"/>
                    <c:pt idx="0">
                      <c:v>25.5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{5D5B5CB6-31E8-164F-A30B-4A62474E3419}</c15:txfldGUID>
                      <c15:f>'SensIt Tornado 2'!$B$12</c15:f>
                      <c15:dlblFieldTableCache>
                        <c:ptCount val="1"/>
                        <c:pt idx="0">
                          <c:v>25.5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489-AD4C-80A8-04839E3BFF7E}"/>
                </c:ext>
              </c:extLst>
            </c:dLbl>
            <c:dLbl>
              <c:idx val="2"/>
              <c:tx>
                <c:strRef>
                  <c:f>'SensIt Tornado 2'!$B$13</c:f>
                  <c:strCache>
                    <c:ptCount val="1"/>
                    <c:pt idx="0">
                      <c:v>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{26853B60-20DE-F74F-851D-D36E8F782C25}</c15:txfldGUID>
                      <c15:f>'SensIt Tornado 2'!$B$13</c15:f>
                      <c15:dlblFieldTableCache>
                        <c:ptCount val="1"/>
                        <c:pt idx="0">
                          <c:v>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489-AD4C-80A8-04839E3BFF7E}"/>
                </c:ext>
              </c:extLst>
            </c:dLbl>
            <c:dLbl>
              <c:idx val="3"/>
              <c:tx>
                <c:strRef>
                  <c:f>'SensIt Tornado 2'!$B$14</c:f>
                  <c:strCache>
                    <c:ptCount val="1"/>
                    <c:pt idx="0">
                      <c:v>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{3E70B1A5-7950-924F-8178-BD581D6F3F4F}</c15:txfldGUID>
                      <c15:f>'SensIt Tornado 2'!$B$14</c15:f>
                      <c15:dlblFieldTableCache>
                        <c:ptCount val="1"/>
                        <c:pt idx="0">
                          <c:v>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489-AD4C-80A8-04839E3BFF7E}"/>
                </c:ext>
              </c:extLst>
            </c:dLbl>
            <c:dLbl>
              <c:idx val="4"/>
              <c:tx>
                <c:strRef>
                  <c:f>'SensIt Tornado 2'!$B$15</c:f>
                  <c:strCache>
                    <c:ptCount val="1"/>
                    <c:pt idx="0">
                      <c:v>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{F405B43B-D5EE-9347-81B0-BF3AFE9B3524}</c15:txfldGUID>
                      <c15:f>'SensIt Tornado 2'!$B$15</c15:f>
                      <c15:dlblFieldTableCache>
                        <c:ptCount val="1"/>
                        <c:pt idx="0">
                          <c:v>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489-AD4C-80A8-04839E3BFF7E}"/>
                </c:ext>
              </c:extLst>
            </c:dLbl>
            <c:dLbl>
              <c:idx val="5"/>
              <c:tx>
                <c:strRef>
                  <c:f>'SensIt Tornado 2'!$B$16</c:f>
                  <c:strCache>
                    <c:ptCount val="1"/>
                    <c:pt idx="0">
                      <c:v>90.5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{620D3AB4-7098-354D-BA01-EA4E018F75EB}</c15:txfldGUID>
                      <c15:f>'SensIt Tornado 2'!$B$16</c15:f>
                      <c15:dlblFieldTableCache>
                        <c:ptCount val="1"/>
                        <c:pt idx="0">
                          <c:v>90.5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489-AD4C-80A8-04839E3BFF7E}"/>
                </c:ext>
              </c:extLst>
            </c:dLbl>
            <c:dLbl>
              <c:idx val="6"/>
              <c:tx>
                <c:strRef>
                  <c:f>'SensIt Tornado 2'!$B$17</c:f>
                  <c:strCache>
                    <c:ptCount val="1"/>
                    <c:pt idx="0">
                      <c:v>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{A1AF3EE3-E915-EB43-8997-6D119F9BBFF2}</c15:txfldGUID>
                      <c15:f>'SensIt Tornado 2'!$B$17</c15:f>
                      <c15:dlblFieldTableCache>
                        <c:ptCount val="1"/>
                        <c:pt idx="0">
                          <c:v>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489-AD4C-80A8-04839E3BFF7E}"/>
                </c:ext>
              </c:extLst>
            </c:dLbl>
            <c:dLbl>
              <c:idx val="7"/>
              <c:tx>
                <c:strRef>
                  <c:f>'SensIt Tornado 2'!$B$18</c:f>
                  <c:strCache>
                    <c:ptCount val="1"/>
                    <c:pt idx="0">
                      <c:v>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{31A446AE-2DA4-AE42-821C-0D3BD999B28E}</c15:txfldGUID>
                      <c15:f>'SensIt Tornado 2'!$B$18</c15:f>
                      <c15:dlblFieldTableCache>
                        <c:ptCount val="1"/>
                        <c:pt idx="0">
                          <c:v>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489-AD4C-80A8-04839E3BFF7E}"/>
                </c:ext>
              </c:extLst>
            </c:dLbl>
            <c:dLbl>
              <c:idx val="8"/>
              <c:tx>
                <c:strRef>
                  <c:f>'SensIt Tornado 2'!$B$19</c:f>
                  <c:strCache>
                    <c:ptCount val="1"/>
                    <c:pt idx="0">
                      <c:v>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{7214B0DB-F46C-E041-8715-5FD63B056A81}</c15:txfldGUID>
                      <c15:f>'SensIt Tornado 2'!$B$19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489-AD4C-80A8-04839E3BF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'SensIt Tornado 2'!$A$11:$A$19</c:f>
              <c:strCache>
                <c:ptCount val="9"/>
                <c:pt idx="0">
                  <c:v>RMB per USD</c:v>
                </c:pt>
                <c:pt idx="1">
                  <c:v>Labor cost per binocular (RMB)</c:v>
                </c:pt>
                <c:pt idx="2">
                  <c:v>Taizhou supplier daily capacity (# of eyepieces)</c:v>
                </c:pt>
                <c:pt idx="3">
                  <c:v>Taizhou supplier resume in (days)</c:v>
                </c:pt>
                <c:pt idx="4">
                  <c:v>Salvage value per eyepiece (RMB)</c:v>
                </c:pt>
                <c:pt idx="5">
                  <c:v>Cost for other parts (RMB)</c:v>
                </c:pt>
                <c:pt idx="6">
                  <c:v>Taizhou supplier price per eyepiece (RMB)</c:v>
                </c:pt>
                <c:pt idx="7">
                  <c:v>Time to assemble and test after receiving eyepieces (days)</c:v>
                </c:pt>
                <c:pt idx="8">
                  <c:v>Salvage value of other parts per binocular (RMB)</c:v>
                </c:pt>
              </c:strCache>
            </c:strRef>
          </c:cat>
          <c:val>
            <c:numRef>
              <c:f>'SensIt Tornado 2'!$E$11:$E$19</c:f>
              <c:numCache>
                <c:formatCode>_ [$¥-804]* #,##0.00_ ;_ [$¥-804]* \-#,##0.00_ ;_ [$¥-804]* "-"??_ ;_ @_ </c:formatCode>
                <c:ptCount val="9"/>
                <c:pt idx="0">
                  <c:v>337400</c:v>
                </c:pt>
                <c:pt idx="1">
                  <c:v>395000</c:v>
                </c:pt>
                <c:pt idx="2">
                  <c:v>327375</c:v>
                </c:pt>
                <c:pt idx="3">
                  <c:v>429000</c:v>
                </c:pt>
                <c:pt idx="4">
                  <c:v>435000</c:v>
                </c:pt>
                <c:pt idx="5">
                  <c:v>435000</c:v>
                </c:pt>
                <c:pt idx="6">
                  <c:v>443000</c:v>
                </c:pt>
                <c:pt idx="7">
                  <c:v>439000</c:v>
                </c:pt>
                <c:pt idx="8">
                  <c:v>443000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9-AD4C-80A8-04839E3BFF7E}"/>
            </c:ext>
          </c:extLst>
        </c:ser>
        <c:ser>
          <c:idx val="1"/>
          <c:order val="1"/>
          <c:tx>
            <c:v>Bars on Right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'SensIt Tornado 2'!$D$11</c:f>
                  <c:strCache>
                    <c:ptCount val="1"/>
                    <c:pt idx="0">
                      <c:v>7.3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{EEAACDEC-BAFC-5544-891D-0AEA428E8810}</c15:txfldGUID>
                      <c15:f>'SensIt Tornado 2'!$D$11</c15:f>
                      <c15:dlblFieldTableCache>
                        <c:ptCount val="1"/>
                        <c:pt idx="0">
                          <c:v>7.3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489-AD4C-80A8-04839E3BFF7E}"/>
                </c:ext>
              </c:extLst>
            </c:dLbl>
            <c:dLbl>
              <c:idx val="1"/>
              <c:tx>
                <c:strRef>
                  <c:f>'SensIt Tornado 2'!$D$12</c:f>
                  <c:strCache>
                    <c:ptCount val="1"/>
                    <c:pt idx="0">
                      <c:v>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{70AFDD4D-DEF4-0F48-9553-EF56E3546639}</c15:txfldGUID>
                      <c15:f>'SensIt Tornado 2'!$D$12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489-AD4C-80A8-04839E3BFF7E}"/>
                </c:ext>
              </c:extLst>
            </c:dLbl>
            <c:dLbl>
              <c:idx val="2"/>
              <c:tx>
                <c:strRef>
                  <c:f>'SensIt Tornado 2'!$D$13</c:f>
                  <c:strCache>
                    <c:ptCount val="1"/>
                    <c:pt idx="0">
                      <c:v>1000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{E00E9077-CE0B-7E42-BE0C-C3FBE1F7C105}</c15:txfldGUID>
                      <c15:f>'SensIt Tornado 2'!$D$13</c15:f>
                      <c15:dlblFieldTableCache>
                        <c:ptCount val="1"/>
                        <c:pt idx="0">
                          <c:v>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489-AD4C-80A8-04839E3BFF7E}"/>
                </c:ext>
              </c:extLst>
            </c:dLbl>
            <c:dLbl>
              <c:idx val="3"/>
              <c:tx>
                <c:strRef>
                  <c:f>'SensIt Tornado 2'!$D$14</c:f>
                  <c:strCache>
                    <c:ptCount val="1"/>
                    <c:pt idx="0">
                      <c:v>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{34B0FA02-1478-5B4D-8E03-B443D8CD74DC}</c15:txfldGUID>
                      <c15:f>'SensIt Tornado 2'!$D$14</c15:f>
                      <c15:dlblFieldTableCache>
                        <c:ptCount val="1"/>
                        <c:pt idx="0">
                          <c:v>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489-AD4C-80A8-04839E3BFF7E}"/>
                </c:ext>
              </c:extLst>
            </c:dLbl>
            <c:dLbl>
              <c:idx val="4"/>
              <c:tx>
                <c:strRef>
                  <c:f>'SensIt Tornado 2'!$D$15</c:f>
                  <c:strCache>
                    <c:ptCount val="1"/>
                    <c:pt idx="0">
                      <c:v>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{F9BE56F0-5DC1-624F-8935-6765736FFC01}</c15:txfldGUID>
                      <c15:f>'SensIt Tornado 2'!$D$15</c15:f>
                      <c15:dlblFieldTableCache>
                        <c:ptCount val="1"/>
                        <c:pt idx="0">
                          <c:v>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489-AD4C-80A8-04839E3BFF7E}"/>
                </c:ext>
              </c:extLst>
            </c:dLbl>
            <c:dLbl>
              <c:idx val="5"/>
              <c:tx>
                <c:strRef>
                  <c:f>'SensIt Tornado 2'!$D$16</c:f>
                  <c:strCache>
                    <c:ptCount val="1"/>
                    <c:pt idx="0">
                      <c:v>89.5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{FBFD9787-111E-5540-A253-B58A915B3211}</c15:txfldGUID>
                      <c15:f>'SensIt Tornado 2'!$D$16</c15:f>
                      <c15:dlblFieldTableCache>
                        <c:ptCount val="1"/>
                        <c:pt idx="0">
                          <c:v>89.5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489-AD4C-80A8-04839E3BFF7E}"/>
                </c:ext>
              </c:extLst>
            </c:dLbl>
            <c:dLbl>
              <c:idx val="6"/>
              <c:tx>
                <c:strRef>
                  <c:f>'SensIt Tornado 2'!$D$17</c:f>
                  <c:strCache>
                    <c:ptCount val="1"/>
                    <c:pt idx="0">
                      <c:v>4.5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{A1E98EB1-A17F-1445-8C19-19313C3FF294}</c15:txfldGUID>
                      <c15:f>'SensIt Tornado 2'!$D$17</c15:f>
                      <c15:dlblFieldTableCache>
                        <c:ptCount val="1"/>
                        <c:pt idx="0">
                          <c:v>4.5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489-AD4C-80A8-04839E3BFF7E}"/>
                </c:ext>
              </c:extLst>
            </c:dLbl>
            <c:dLbl>
              <c:idx val="7"/>
              <c:tx>
                <c:strRef>
                  <c:f>'SensIt Tornado 2'!$D$18</c:f>
                  <c:strCache>
                    <c:ptCount val="1"/>
                    <c:pt idx="0">
                      <c:v>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{C6CBABB5-D792-E14C-AD35-3CD6D03A5C63}</c15:txfldGUID>
                      <c15:f>'SensIt Tornado 2'!$D$18</c15:f>
                      <c15:dlblFieldTableCache>
                        <c:ptCount val="1"/>
                        <c:pt idx="0">
                          <c:v>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489-AD4C-80A8-04839E3BFF7E}"/>
                </c:ext>
              </c:extLst>
            </c:dLbl>
            <c:dLbl>
              <c:idx val="8"/>
              <c:tx>
                <c:strRef>
                  <c:f>'SensIt Tornado 2'!$D$19</c:f>
                  <c:strCache>
                    <c:ptCount val="1"/>
                    <c:pt idx="0">
                      <c:v>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{49D167EC-6503-2345-B741-EB0CB6818291}</c15:txfldGUID>
                      <c15:f>'SensIt Tornado 2'!$D$19</c15:f>
                      <c15:dlblFieldTableCache>
                        <c:ptCount val="1"/>
                        <c:pt idx="0">
                          <c:v>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489-AD4C-80A8-04839E3BF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'SensIt Tornado 2'!$A$11:$A$19</c:f>
              <c:strCache>
                <c:ptCount val="9"/>
                <c:pt idx="0">
                  <c:v>RMB per USD</c:v>
                </c:pt>
                <c:pt idx="1">
                  <c:v>Labor cost per binocular (RMB)</c:v>
                </c:pt>
                <c:pt idx="2">
                  <c:v>Taizhou supplier daily capacity (# of eyepieces)</c:v>
                </c:pt>
                <c:pt idx="3">
                  <c:v>Taizhou supplier resume in (days)</c:v>
                </c:pt>
                <c:pt idx="4">
                  <c:v>Salvage value per eyepiece (RMB)</c:v>
                </c:pt>
                <c:pt idx="5">
                  <c:v>Cost for other parts (RMB)</c:v>
                </c:pt>
                <c:pt idx="6">
                  <c:v>Taizhou supplier price per eyepiece (RMB)</c:v>
                </c:pt>
                <c:pt idx="7">
                  <c:v>Time to assemble and test after receiving eyepieces (days)</c:v>
                </c:pt>
                <c:pt idx="8">
                  <c:v>Salvage value of other parts per binocular (RMB)</c:v>
                </c:pt>
              </c:strCache>
            </c:strRef>
          </c:cat>
          <c:val>
            <c:numRef>
              <c:f>'SensIt Tornado 2'!$G$11:$G$19</c:f>
              <c:numCache>
                <c:formatCode>_ [$¥-804]* #,##0.00_ ;_ [$¥-804]* \-#,##0.00_ ;_ [$¥-804]* "-"??_ ;_ @_ </c:formatCode>
                <c:ptCount val="9"/>
                <c:pt idx="0">
                  <c:v>548600</c:v>
                </c:pt>
                <c:pt idx="1">
                  <c:v>515000</c:v>
                </c:pt>
                <c:pt idx="2">
                  <c:v>443000</c:v>
                </c:pt>
                <c:pt idx="3">
                  <c:v>457000</c:v>
                </c:pt>
                <c:pt idx="4">
                  <c:v>459000</c:v>
                </c:pt>
                <c:pt idx="5">
                  <c:v>451000</c:v>
                </c:pt>
                <c:pt idx="6">
                  <c:v>455500</c:v>
                </c:pt>
                <c:pt idx="7">
                  <c:v>443000</c:v>
                </c:pt>
                <c:pt idx="8">
                  <c:v>443000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89-AD4C-80A8-04839E3B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817585280"/>
        <c:axId val="1817588864"/>
      </c:barChart>
      <c:catAx>
        <c:axId val="1817585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/>
            </a:pPr>
            <a:endParaRPr lang="en-US"/>
          </a:p>
        </c:txPr>
        <c:crossAx val="1817588864"/>
        <c:crossesAt val="443000"/>
        <c:auto val="0"/>
        <c:lblAlgn val="ctr"/>
        <c:lblOffset val="100"/>
        <c:noMultiLvlLbl val="0"/>
      </c:catAx>
      <c:valAx>
        <c:axId val="1817588864"/>
        <c:scaling>
          <c:orientation val="minMax"/>
          <c:max val="580000"/>
          <c:min val="30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/>
                </a:pPr>
                <a:r>
                  <a:rPr lang="en-US" sz="1000" b="0" i="0"/>
                  <a:t>Total Profit</a:t>
                </a:r>
              </a:p>
            </c:rich>
          </c:tx>
          <c:overlay val="0"/>
        </c:title>
        <c:numFmt formatCode="_ [$¥-804]* #,##0.00_ ;_ [$¥-804]* \-#,##0.00_ ;_ [$¥-804]* &quot;-&quot;??_ ;_ @_ 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817585280"/>
        <c:crosses val="max"/>
        <c:crossBetween val="between"/>
        <c:majorUnit val="2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/>
            </a:pPr>
            <a:r>
              <a:rPr lang="en-US" sz="1000" b="0" i="0"/>
              <a:t>SensIt 162 Student Version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Bars on Left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'SensIt Tornado 1'!$B$11</c:f>
                  <c:strCache>
                    <c:ptCount val="1"/>
                    <c:pt idx="0">
                      <c:v>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{F58367B1-5B44-BF4E-B666-CB8A45ECED83}</c15:txfldGUID>
                      <c15:f>'SensIt Tornado 1'!$B$11</c15:f>
                      <c15:dlblFieldTableCache>
                        <c:ptCount val="1"/>
                        <c:pt idx="0">
                          <c:v>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2D6-D840-AF4E-60AFD0DC79D4}"/>
                </c:ext>
              </c:extLst>
            </c:dLbl>
            <c:dLbl>
              <c:idx val="1"/>
              <c:tx>
                <c:strRef>
                  <c:f>'SensIt Tornado 1'!$B$12</c:f>
                  <c:strCache>
                    <c:ptCount val="1"/>
                    <c:pt idx="0">
                      <c:v>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{C52E61E3-8009-734C-9E99-56FA062D80CB}</c15:txfldGUID>
                      <c15:f>'SensIt Tornado 1'!$B$12</c15:f>
                      <c15:dlblFieldTableCache>
                        <c:ptCount val="1"/>
                        <c:pt idx="0">
                          <c:v>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2D6-D840-AF4E-60AFD0DC79D4}"/>
                </c:ext>
              </c:extLst>
            </c:dLbl>
            <c:dLbl>
              <c:idx val="2"/>
              <c:tx>
                <c:strRef>
                  <c:f>'SensIt Tornado 1'!$B$13</c:f>
                  <c:strCache>
                    <c:ptCount val="1"/>
                    <c:pt idx="0">
                      <c:v>6.7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{48343593-7DDB-2B46-A772-2D9D23928CC3}</c15:txfldGUID>
                      <c15:f>'SensIt Tornado 1'!$B$13</c15:f>
                      <c15:dlblFieldTableCache>
                        <c:ptCount val="1"/>
                        <c:pt idx="0">
                          <c:v>6.7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2D6-D840-AF4E-60AFD0DC79D4}"/>
                </c:ext>
              </c:extLst>
            </c:dLbl>
            <c:dLbl>
              <c:idx val="3"/>
              <c:tx>
                <c:strRef>
                  <c:f>'SensIt Tornado 1'!$B$14</c:f>
                  <c:strCache>
                    <c:ptCount val="1"/>
                    <c:pt idx="0">
                      <c:v>25.5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{B61CABA6-BAFB-1F43-8028-C82D087413A9}</c15:txfldGUID>
                      <c15:f>'SensIt Tornado 1'!$B$14</c15:f>
                      <c15:dlblFieldTableCache>
                        <c:ptCount val="1"/>
                        <c:pt idx="0">
                          <c:v>25.5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2D6-D840-AF4E-60AFD0DC79D4}"/>
                </c:ext>
              </c:extLst>
            </c:dLbl>
            <c:dLbl>
              <c:idx val="4"/>
              <c:tx>
                <c:strRef>
                  <c:f>'SensIt Tornado 1'!$B$15</c:f>
                  <c:strCache>
                    <c:ptCount val="1"/>
                    <c:pt idx="0">
                      <c:v>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{451C6A6D-E89D-994A-BEE8-607D00BA4ACD}</c15:txfldGUID>
                      <c15:f>'SensIt Tornado 1'!$B$15</c15:f>
                      <c15:dlblFieldTableCache>
                        <c:ptCount val="1"/>
                        <c:pt idx="0">
                          <c:v>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2D6-D840-AF4E-60AFD0DC79D4}"/>
                </c:ext>
              </c:extLst>
            </c:dLbl>
            <c:dLbl>
              <c:idx val="5"/>
              <c:tx>
                <c:strRef>
                  <c:f>'SensIt Tornado 1'!$B$16</c:f>
                  <c:strCache>
                    <c:ptCount val="1"/>
                    <c:pt idx="0">
                      <c:v>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{878CE7C3-DCD5-5047-A93B-9323A471C0E7}</c15:txfldGUID>
                      <c15:f>'SensIt Tornado 1'!$B$16</c15:f>
                      <c15:dlblFieldTableCache>
                        <c:ptCount val="1"/>
                        <c:pt idx="0">
                          <c:v>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2D6-D840-AF4E-60AFD0DC79D4}"/>
                </c:ext>
              </c:extLst>
            </c:dLbl>
            <c:dLbl>
              <c:idx val="6"/>
              <c:tx>
                <c:strRef>
                  <c:f>'SensIt Tornado 1'!$B$17</c:f>
                  <c:strCache>
                    <c:ptCount val="1"/>
                    <c:pt idx="0">
                      <c:v>90.5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{6F90671C-990C-764B-8DFB-35B83B72DC8E}</c15:txfldGUID>
                      <c15:f>'SensIt Tornado 1'!$B$17</c15:f>
                      <c15:dlblFieldTableCache>
                        <c:ptCount val="1"/>
                        <c:pt idx="0">
                          <c:v>90.5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2D6-D840-AF4E-60AFD0DC79D4}"/>
                </c:ext>
              </c:extLst>
            </c:dLbl>
            <c:dLbl>
              <c:idx val="7"/>
              <c:tx>
                <c:strRef>
                  <c:f>'SensIt Tornado 1'!$B$18</c:f>
                  <c:strCache>
                    <c:ptCount val="1"/>
                    <c:pt idx="0">
                      <c:v>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{5A98AA82-26D0-3049-B5B3-81E667239A18}</c15:txfldGUID>
                      <c15:f>'SensIt Tornado 1'!$B$18</c15:f>
                      <c15:dlblFieldTableCache>
                        <c:ptCount val="1"/>
                        <c:pt idx="0">
                          <c:v>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2D6-D840-AF4E-60AFD0DC79D4}"/>
                </c:ext>
              </c:extLst>
            </c:dLbl>
            <c:dLbl>
              <c:idx val="8"/>
              <c:tx>
                <c:strRef>
                  <c:f>'SensIt Tornado 1'!$B$19</c:f>
                  <c:strCache>
                    <c:ptCount val="1"/>
                    <c:pt idx="0">
                      <c:v>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{8FDAB865-362C-424E-B7AE-C79EF371C79D}</c15:txfldGUID>
                      <c15:f>'SensIt Tornado 1'!$B$19</c15:f>
                      <c15:dlblFieldTableCache>
                        <c:ptCount val="1"/>
                        <c:pt idx="0">
                          <c:v>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2D6-D840-AF4E-60AFD0DC7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'SensIt Tornado 1'!$A$11:$A$19</c:f>
              <c:strCache>
                <c:ptCount val="9"/>
                <c:pt idx="0">
                  <c:v>Taizhou supplier resume in (days)</c:v>
                </c:pt>
                <c:pt idx="1">
                  <c:v>Taizhou supplier daily capacity (# of eyepieces)</c:v>
                </c:pt>
                <c:pt idx="2">
                  <c:v>RMB per USD</c:v>
                </c:pt>
                <c:pt idx="3">
                  <c:v>Labor cost per binocular (RMB)</c:v>
                </c:pt>
                <c:pt idx="4">
                  <c:v>Time to assemble and test after receiving eyepieces (days)</c:v>
                </c:pt>
                <c:pt idx="5">
                  <c:v>Salvage value of other parts per binocular (RMB)</c:v>
                </c:pt>
                <c:pt idx="6">
                  <c:v>Cost for other parts (RMB)</c:v>
                </c:pt>
                <c:pt idx="7">
                  <c:v>Taizhou supplier price per eyepiece (RMB)</c:v>
                </c:pt>
                <c:pt idx="8">
                  <c:v>Salvage value per eyepiece (RMB)</c:v>
                </c:pt>
              </c:strCache>
            </c:strRef>
          </c:cat>
          <c:val>
            <c:numRef>
              <c:f>'SensIt Tornado 1'!$E$11:$E$19</c:f>
              <c:numCache>
                <c:formatCode>_ [$¥-804]* #,##0.00_ ;_ [$¥-804]* \-#,##0.00_ ;_ [$¥-804]* "-"??_ ;_ @_ </c:formatCode>
                <c:ptCount val="9"/>
                <c:pt idx="0">
                  <c:v>94500</c:v>
                </c:pt>
                <c:pt idx="1">
                  <c:v>-66375</c:v>
                </c:pt>
                <c:pt idx="2">
                  <c:v>216750</c:v>
                </c:pt>
                <c:pt idx="3">
                  <c:v>261750</c:v>
                </c:pt>
                <c:pt idx="4">
                  <c:v>299250</c:v>
                </c:pt>
                <c:pt idx="5">
                  <c:v>288750</c:v>
                </c:pt>
                <c:pt idx="6">
                  <c:v>291250</c:v>
                </c:pt>
                <c:pt idx="7">
                  <c:v>299250</c:v>
                </c:pt>
                <c:pt idx="8">
                  <c:v>299250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6-D840-AF4E-60AFD0DC79D4}"/>
            </c:ext>
          </c:extLst>
        </c:ser>
        <c:ser>
          <c:idx val="1"/>
          <c:order val="1"/>
          <c:tx>
            <c:v>Bars on Right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'SensIt Tornado 1'!$D$11</c:f>
                  <c:strCache>
                    <c:ptCount val="1"/>
                    <c:pt idx="0">
                      <c:v>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{DFF2C3DA-502A-BB43-B1F5-7EAADF9BEDB6}</c15:txfldGUID>
                      <c15:f>'SensIt Tornado 1'!$D$11</c15:f>
                      <c15:dlblFieldTableCache>
                        <c:ptCount val="1"/>
                        <c:pt idx="0">
                          <c:v>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2D6-D840-AF4E-60AFD0DC79D4}"/>
                </c:ext>
              </c:extLst>
            </c:dLbl>
            <c:dLbl>
              <c:idx val="1"/>
              <c:tx>
                <c:strRef>
                  <c:f>'SensIt Tornado 1'!$D$12</c:f>
                  <c:strCache>
                    <c:ptCount val="1"/>
                    <c:pt idx="0">
                      <c:v>1000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{42CCC1E4-7EF5-5440-B068-7130A9F7045A}</c15:txfldGUID>
                      <c15:f>'SensIt Tornado 1'!$D$12</c15:f>
                      <c15:dlblFieldTableCache>
                        <c:ptCount val="1"/>
                        <c:pt idx="0">
                          <c:v>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2D6-D840-AF4E-60AFD0DC79D4}"/>
                </c:ext>
              </c:extLst>
            </c:dLbl>
            <c:dLbl>
              <c:idx val="2"/>
              <c:tx>
                <c:strRef>
                  <c:f>'SensIt Tornado 1'!$D$13</c:f>
                  <c:strCache>
                    <c:ptCount val="1"/>
                    <c:pt idx="0">
                      <c:v>7.3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{2C968366-8333-094B-AB34-9AF97DA84AF6}</c15:txfldGUID>
                      <c15:f>'SensIt Tornado 1'!$D$13</c15:f>
                      <c15:dlblFieldTableCache>
                        <c:ptCount val="1"/>
                        <c:pt idx="0">
                          <c:v>7.3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2D6-D840-AF4E-60AFD0DC79D4}"/>
                </c:ext>
              </c:extLst>
            </c:dLbl>
            <c:dLbl>
              <c:idx val="3"/>
              <c:tx>
                <c:strRef>
                  <c:f>'SensIt Tornado 1'!$D$14</c:f>
                  <c:strCache>
                    <c:ptCount val="1"/>
                    <c:pt idx="0">
                      <c:v>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{ACDE9A64-A799-F84A-86D9-C233D02DA4EE}</c15:txfldGUID>
                      <c15:f>'SensIt Tornado 1'!$D$14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2D6-D840-AF4E-60AFD0DC79D4}"/>
                </c:ext>
              </c:extLst>
            </c:dLbl>
            <c:dLbl>
              <c:idx val="4"/>
              <c:tx>
                <c:strRef>
                  <c:f>'SensIt Tornado 1'!$D$15</c:f>
                  <c:strCache>
                    <c:ptCount val="1"/>
                    <c:pt idx="0">
                      <c:v>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{652DF948-46E5-6247-A054-1CABACBDE5BB}</c15:txfldGUID>
                      <c15:f>'SensIt Tornado 1'!$D$15</c15:f>
                      <c15:dlblFieldTableCache>
                        <c:ptCount val="1"/>
                        <c:pt idx="0">
                          <c:v>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2D6-D840-AF4E-60AFD0DC79D4}"/>
                </c:ext>
              </c:extLst>
            </c:dLbl>
            <c:dLbl>
              <c:idx val="5"/>
              <c:tx>
                <c:strRef>
                  <c:f>'SensIt Tornado 1'!$D$16</c:f>
                  <c:strCache>
                    <c:ptCount val="1"/>
                    <c:pt idx="0">
                      <c:v>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{54AD0774-968E-F44D-8F45-79B49DF309F5}</c15:txfldGUID>
                      <c15:f>'SensIt Tornado 1'!$D$16</c15:f>
                      <c15:dlblFieldTableCache>
                        <c:ptCount val="1"/>
                        <c:pt idx="0">
                          <c:v>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2D6-D840-AF4E-60AFD0DC79D4}"/>
                </c:ext>
              </c:extLst>
            </c:dLbl>
            <c:dLbl>
              <c:idx val="6"/>
              <c:tx>
                <c:strRef>
                  <c:f>'SensIt Tornado 1'!$D$17</c:f>
                  <c:strCache>
                    <c:ptCount val="1"/>
                    <c:pt idx="0">
                      <c:v>89.5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{78082D5F-6B46-6F41-AB7E-C36520D7E4DB}</c15:txfldGUID>
                      <c15:f>'SensIt Tornado 1'!$D$17</c15:f>
                      <c15:dlblFieldTableCache>
                        <c:ptCount val="1"/>
                        <c:pt idx="0">
                          <c:v>89.5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2D6-D840-AF4E-60AFD0DC79D4}"/>
                </c:ext>
              </c:extLst>
            </c:dLbl>
            <c:dLbl>
              <c:idx val="7"/>
              <c:tx>
                <c:strRef>
                  <c:f>'SensIt Tornado 1'!$D$18</c:f>
                  <c:strCache>
                    <c:ptCount val="1"/>
                    <c:pt idx="0">
                      <c:v>4.5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{52DB82A1-D6FC-E241-93F6-8A72A7365B74}</c15:txfldGUID>
                      <c15:f>'SensIt Tornado 1'!$D$18</c15:f>
                      <c15:dlblFieldTableCache>
                        <c:ptCount val="1"/>
                        <c:pt idx="0">
                          <c:v>4.5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2D6-D840-AF4E-60AFD0DC79D4}"/>
                </c:ext>
              </c:extLst>
            </c:dLbl>
            <c:dLbl>
              <c:idx val="8"/>
              <c:tx>
                <c:strRef>
                  <c:f>'SensIt Tornado 1'!$D$19</c:f>
                  <c:strCache>
                    <c:ptCount val="1"/>
                    <c:pt idx="0">
                      <c:v>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{689CABAE-DD36-B24E-96B4-A59C0815CAA7}</c15:txfldGUID>
                      <c15:f>'SensIt Tornado 1'!$D$19</c15:f>
                      <c15:dlblFieldTableCache>
                        <c:ptCount val="1"/>
                        <c:pt idx="0">
                          <c:v>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2D6-D840-AF4E-60AFD0DC7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'SensIt Tornado 1'!$A$11:$A$19</c:f>
              <c:strCache>
                <c:ptCount val="9"/>
                <c:pt idx="0">
                  <c:v>Taizhou supplier resume in (days)</c:v>
                </c:pt>
                <c:pt idx="1">
                  <c:v>Taizhou supplier daily capacity (# of eyepieces)</c:v>
                </c:pt>
                <c:pt idx="2">
                  <c:v>RMB per USD</c:v>
                </c:pt>
                <c:pt idx="3">
                  <c:v>Labor cost per binocular (RMB)</c:v>
                </c:pt>
                <c:pt idx="4">
                  <c:v>Time to assemble and test after receiving eyepieces (days)</c:v>
                </c:pt>
                <c:pt idx="5">
                  <c:v>Salvage value of other parts per binocular (RMB)</c:v>
                </c:pt>
                <c:pt idx="6">
                  <c:v>Cost for other parts (RMB)</c:v>
                </c:pt>
                <c:pt idx="7">
                  <c:v>Taizhou supplier price per eyepiece (RMB)</c:v>
                </c:pt>
                <c:pt idx="8">
                  <c:v>Salvage value per eyepiece (RMB)</c:v>
                </c:pt>
              </c:strCache>
            </c:strRef>
          </c:cat>
          <c:val>
            <c:numRef>
              <c:f>'SensIt Tornado 1'!$G$11:$G$19</c:f>
              <c:numCache>
                <c:formatCode>_ [$¥-804]* #,##0.00_ ;_ [$¥-804]* \-#,##0.00_ ;_ [$¥-804]* "-"??_ ;_ @_ </c:formatCode>
                <c:ptCount val="9"/>
                <c:pt idx="0">
                  <c:v>504000</c:v>
                </c:pt>
                <c:pt idx="1">
                  <c:v>299250</c:v>
                </c:pt>
                <c:pt idx="2">
                  <c:v>381750</c:v>
                </c:pt>
                <c:pt idx="3">
                  <c:v>355500</c:v>
                </c:pt>
                <c:pt idx="4">
                  <c:v>357750</c:v>
                </c:pt>
                <c:pt idx="5">
                  <c:v>323750</c:v>
                </c:pt>
                <c:pt idx="6">
                  <c:v>307250</c:v>
                </c:pt>
                <c:pt idx="7">
                  <c:v>311750</c:v>
                </c:pt>
                <c:pt idx="8">
                  <c:v>299250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6-D840-AF4E-60AFD0DC7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769268864"/>
        <c:axId val="1767890816"/>
      </c:barChart>
      <c:catAx>
        <c:axId val="17692688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/>
            </a:pPr>
            <a:endParaRPr lang="en-US"/>
          </a:p>
        </c:txPr>
        <c:crossAx val="1767890816"/>
        <c:crossesAt val="299250"/>
        <c:auto val="0"/>
        <c:lblAlgn val="ctr"/>
        <c:lblOffset val="100"/>
        <c:noMultiLvlLbl val="0"/>
      </c:catAx>
      <c:valAx>
        <c:axId val="1767890816"/>
        <c:scaling>
          <c:orientation val="minMax"/>
          <c:max val="700000"/>
          <c:min val="-20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/>
                </a:pPr>
                <a:r>
                  <a:rPr lang="en-US" sz="1000" b="0" i="0"/>
                  <a:t>Total Profit</a:t>
                </a:r>
              </a:p>
            </c:rich>
          </c:tx>
          <c:overlay val="0"/>
        </c:title>
        <c:numFmt formatCode="_ [$¥-804]* #,##0.00_ ;_ [$¥-804]* \-#,##0.00_ ;_ [$¥-804]* &quot;-&quot;??_ ;_ @_ 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769268864"/>
        <c:crosses val="max"/>
        <c:crossBetween val="between"/>
        <c:majorUnit val="10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0</xdr:rowOff>
    </xdr:from>
    <xdr:to>
      <xdr:col>8</xdr:col>
      <xdr:colOff>584200</xdr:colOff>
      <xdr:row>43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24AB2-6361-A62C-6194-B0C460E8C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0</xdr:rowOff>
    </xdr:from>
    <xdr:to>
      <xdr:col>8</xdr:col>
      <xdr:colOff>584200</xdr:colOff>
      <xdr:row>43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99D10-490F-7075-959C-7D20DE4C2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L26"/>
  <sheetViews>
    <sheetView showGridLines="0" topLeftCell="A9" zoomScale="116" zoomScaleNormal="85" zoomScalePageLayoutView="125" workbookViewId="0">
      <selection activeCell="L22" sqref="L22"/>
    </sheetView>
  </sheetViews>
  <sheetFormatPr baseColWidth="10" defaultColWidth="8.83203125" defaultRowHeight="16" customHeight="1" x14ac:dyDescent="0.2"/>
  <cols>
    <col min="1" max="1" width="48.5" customWidth="1"/>
    <col min="2" max="2" width="12.1640625" bestFit="1" customWidth="1"/>
    <col min="3" max="3" width="25.5" customWidth="1"/>
    <col min="4" max="4" width="9.33203125" bestFit="1" customWidth="1"/>
    <col min="5" max="6" width="9" bestFit="1" customWidth="1"/>
    <col min="8" max="8" width="8.83203125" customWidth="1"/>
    <col min="9" max="9" width="11.33203125" bestFit="1" customWidth="1"/>
    <col min="10" max="10" width="31.6640625" bestFit="1" customWidth="1"/>
    <col min="11" max="11" width="8.83203125" customWidth="1"/>
    <col min="12" max="12" width="13" bestFit="1" customWidth="1"/>
    <col min="13" max="15" width="8.83203125" customWidth="1"/>
    <col min="17" max="17" width="8.83203125" customWidth="1"/>
  </cols>
  <sheetData>
    <row r="1" spans="1:12" ht="17" x14ac:dyDescent="0.2">
      <c r="A1" s="36" t="s">
        <v>19</v>
      </c>
      <c r="B1" s="37">
        <v>0</v>
      </c>
      <c r="I1" s="38" t="s">
        <v>26</v>
      </c>
      <c r="J1" s="39"/>
      <c r="K1" s="39"/>
      <c r="L1" s="39"/>
    </row>
    <row r="2" spans="1:12" x14ac:dyDescent="0.2">
      <c r="A2" s="4"/>
      <c r="B2" s="5"/>
      <c r="I2" s="23"/>
      <c r="J2" s="23"/>
      <c r="K2" s="23"/>
      <c r="L2" s="23"/>
    </row>
    <row r="3" spans="1:12" x14ac:dyDescent="0.2">
      <c r="A3" s="4" t="s">
        <v>18</v>
      </c>
      <c r="B3" s="6">
        <v>2</v>
      </c>
      <c r="I3" s="40" t="s">
        <v>23</v>
      </c>
      <c r="J3" s="40"/>
      <c r="K3" s="24"/>
      <c r="L3" s="24"/>
    </row>
    <row r="4" spans="1:12" x14ac:dyDescent="0.2">
      <c r="A4" s="4" t="s">
        <v>36</v>
      </c>
      <c r="B4" s="6">
        <v>22</v>
      </c>
      <c r="I4" s="23"/>
      <c r="J4" s="23" t="s">
        <v>21</v>
      </c>
      <c r="K4" s="23"/>
      <c r="L4" s="23">
        <f>MIN(Total_demand*2,MAX(0,Time_to_delivery-T_starting_day-Time_assemble_test)*T_daily_capacity)</f>
        <v>25000</v>
      </c>
    </row>
    <row r="5" spans="1:12" x14ac:dyDescent="0.2">
      <c r="A5" s="4" t="s">
        <v>7</v>
      </c>
      <c r="B5" s="6">
        <v>16000</v>
      </c>
      <c r="D5" s="2"/>
      <c r="F5" s="2"/>
      <c r="I5" s="23"/>
      <c r="J5" s="23" t="s">
        <v>20</v>
      </c>
      <c r="K5" s="23"/>
      <c r="L5" s="23">
        <f>Order_quant</f>
        <v>0</v>
      </c>
    </row>
    <row r="6" spans="1:12" x14ac:dyDescent="0.2">
      <c r="A6" s="4" t="s">
        <v>6</v>
      </c>
      <c r="B6" s="6">
        <v>95</v>
      </c>
      <c r="C6" t="s">
        <v>5</v>
      </c>
      <c r="D6" s="2"/>
      <c r="F6" s="2"/>
      <c r="I6" s="23"/>
      <c r="J6" s="23"/>
      <c r="K6" s="23"/>
      <c r="L6" s="23"/>
    </row>
    <row r="7" spans="1:12" x14ac:dyDescent="0.2">
      <c r="A7" s="4" t="s">
        <v>1</v>
      </c>
      <c r="B7" s="6">
        <v>8</v>
      </c>
      <c r="I7" s="40" t="s">
        <v>28</v>
      </c>
      <c r="J7" s="40"/>
      <c r="K7" s="24"/>
      <c r="L7" s="24"/>
    </row>
    <row r="8" spans="1:12" x14ac:dyDescent="0.2">
      <c r="A8" s="4" t="s">
        <v>38</v>
      </c>
      <c r="B8" s="6">
        <v>10</v>
      </c>
      <c r="I8" s="23"/>
      <c r="J8" s="23" t="s">
        <v>29</v>
      </c>
      <c r="K8" s="23"/>
      <c r="L8" s="23">
        <f>Total_demand</f>
        <v>16000</v>
      </c>
    </row>
    <row r="9" spans="1:12" ht="17" thickBot="1" x14ac:dyDescent="0.25">
      <c r="A9" s="4" t="s">
        <v>37</v>
      </c>
      <c r="B9" s="6">
        <v>15000</v>
      </c>
      <c r="I9" s="23"/>
      <c r="J9" s="23" t="s">
        <v>31</v>
      </c>
      <c r="K9" s="23"/>
      <c r="L9" s="23">
        <f>(L4+L5)</f>
        <v>25000</v>
      </c>
    </row>
    <row r="10" spans="1:12" x14ac:dyDescent="0.2">
      <c r="A10" s="11"/>
      <c r="B10" s="12"/>
      <c r="C10" s="13"/>
      <c r="D10" s="14" t="s">
        <v>17</v>
      </c>
      <c r="E10" s="14" t="s">
        <v>16</v>
      </c>
      <c r="F10" s="15" t="s">
        <v>15</v>
      </c>
      <c r="I10" s="23"/>
      <c r="J10" s="23" t="s">
        <v>30</v>
      </c>
      <c r="K10" s="23"/>
      <c r="L10" s="23">
        <f xml:space="preserve"> MIN(L9/2, L8)</f>
        <v>12500</v>
      </c>
    </row>
    <row r="11" spans="1:12" x14ac:dyDescent="0.2">
      <c r="A11" s="4" t="s">
        <v>14</v>
      </c>
      <c r="B11" s="6">
        <v>35</v>
      </c>
      <c r="C11" t="s">
        <v>13</v>
      </c>
      <c r="D11">
        <v>28</v>
      </c>
      <c r="E11">
        <v>35</v>
      </c>
      <c r="F11" s="6">
        <v>42</v>
      </c>
      <c r="I11" s="23"/>
      <c r="J11" s="23"/>
      <c r="K11" s="23"/>
      <c r="L11" s="23"/>
    </row>
    <row r="12" spans="1:12" x14ac:dyDescent="0.2">
      <c r="A12" s="4" t="s">
        <v>12</v>
      </c>
      <c r="B12" s="6">
        <v>1000</v>
      </c>
      <c r="D12">
        <v>500</v>
      </c>
      <c r="E12">
        <v>1000</v>
      </c>
      <c r="F12" s="6">
        <v>1000</v>
      </c>
      <c r="I12" s="40" t="s">
        <v>25</v>
      </c>
      <c r="J12" s="40"/>
      <c r="K12" s="24"/>
      <c r="L12" s="24"/>
    </row>
    <row r="13" spans="1:12" x14ac:dyDescent="0.2">
      <c r="A13" s="4" t="s">
        <v>11</v>
      </c>
      <c r="B13" s="21">
        <v>7</v>
      </c>
      <c r="D13" s="1">
        <v>6.7</v>
      </c>
      <c r="E13" s="1">
        <v>7</v>
      </c>
      <c r="F13" s="16">
        <v>7.3</v>
      </c>
      <c r="I13" s="23"/>
      <c r="J13" s="23" t="s">
        <v>27</v>
      </c>
      <c r="K13" s="23"/>
      <c r="L13" s="25">
        <f>L10*Revenue_per_unit*Conversion_rate</f>
        <v>1925000</v>
      </c>
    </row>
    <row r="14" spans="1:12" x14ac:dyDescent="0.2">
      <c r="A14" s="4" t="s">
        <v>10</v>
      </c>
      <c r="B14" s="6">
        <v>90</v>
      </c>
      <c r="D14">
        <v>89.5</v>
      </c>
      <c r="E14">
        <v>90</v>
      </c>
      <c r="F14" s="6">
        <v>90.5</v>
      </c>
      <c r="I14" s="23"/>
      <c r="J14" s="23" t="s">
        <v>43</v>
      </c>
      <c r="K14" s="23"/>
      <c r="L14" s="25">
        <f>(L9-2*L10)*Salvage_value_eyep</f>
        <v>0</v>
      </c>
    </row>
    <row r="15" spans="1:12" x14ac:dyDescent="0.2">
      <c r="A15" s="4" t="s">
        <v>9</v>
      </c>
      <c r="B15" s="6">
        <v>22.5</v>
      </c>
      <c r="D15">
        <v>18</v>
      </c>
      <c r="E15">
        <v>22.5</v>
      </c>
      <c r="F15" s="6">
        <v>25.5</v>
      </c>
      <c r="I15" s="23"/>
      <c r="J15" s="23" t="s">
        <v>42</v>
      </c>
      <c r="K15" s="23"/>
      <c r="L15" s="25">
        <f>(Total_demand-L10)*Salvage_value_other</f>
        <v>220500</v>
      </c>
    </row>
    <row r="16" spans="1:12" x14ac:dyDescent="0.2">
      <c r="A16" s="4" t="s">
        <v>8</v>
      </c>
      <c r="B16" s="6">
        <v>3</v>
      </c>
      <c r="C16" s="3"/>
      <c r="D16">
        <v>2</v>
      </c>
      <c r="E16">
        <v>3</v>
      </c>
      <c r="F16" s="6">
        <v>5</v>
      </c>
      <c r="I16" s="26" t="s">
        <v>34</v>
      </c>
      <c r="J16" s="26"/>
      <c r="K16" s="26"/>
      <c r="L16" s="27">
        <f>SUM(L13:L15)</f>
        <v>2145500</v>
      </c>
    </row>
    <row r="17" spans="1:12" x14ac:dyDescent="0.2">
      <c r="A17" s="7" t="s">
        <v>44</v>
      </c>
      <c r="B17" s="8">
        <v>63</v>
      </c>
      <c r="C17" s="2"/>
      <c r="D17" s="1">
        <v>60</v>
      </c>
      <c r="E17" s="1">
        <v>63</v>
      </c>
      <c r="F17" s="16">
        <v>70</v>
      </c>
      <c r="I17" s="23"/>
      <c r="J17" s="23"/>
      <c r="K17" s="23"/>
      <c r="L17" s="25"/>
    </row>
    <row r="18" spans="1:12" x14ac:dyDescent="0.2">
      <c r="A18" s="7" t="s">
        <v>4</v>
      </c>
      <c r="B18" s="5">
        <v>35</v>
      </c>
      <c r="C18" t="s">
        <v>3</v>
      </c>
      <c r="D18">
        <v>33</v>
      </c>
      <c r="E18">
        <v>35</v>
      </c>
      <c r="F18" s="6">
        <v>35</v>
      </c>
      <c r="I18" s="40" t="s">
        <v>22</v>
      </c>
      <c r="J18" s="40"/>
      <c r="K18" s="24"/>
      <c r="L18" s="28"/>
    </row>
    <row r="19" spans="1:12" ht="17" thickBot="1" x14ac:dyDescent="0.25">
      <c r="A19" s="17" t="s">
        <v>2</v>
      </c>
      <c r="B19" s="18">
        <v>5</v>
      </c>
      <c r="C19" s="19"/>
      <c r="D19" s="19">
        <v>4.5</v>
      </c>
      <c r="E19" s="19">
        <v>5</v>
      </c>
      <c r="F19" s="20">
        <v>5</v>
      </c>
      <c r="I19" s="23"/>
      <c r="J19" s="23" t="s">
        <v>24</v>
      </c>
      <c r="K19" s="23"/>
      <c r="L19" s="25">
        <f>-L4*T_price</f>
        <v>-125000</v>
      </c>
    </row>
    <row r="20" spans="1:12" x14ac:dyDescent="0.2">
      <c r="A20" s="4"/>
      <c r="B20" s="6"/>
      <c r="I20" s="23"/>
      <c r="J20" s="23" t="s">
        <v>39</v>
      </c>
      <c r="K20" s="23"/>
      <c r="L20" s="25">
        <f>-K_price*MIN(K_capacity, L5)</f>
        <v>0</v>
      </c>
    </row>
    <row r="21" spans="1:12" ht="17" thickBot="1" x14ac:dyDescent="0.25">
      <c r="A21" s="9" t="s">
        <v>0</v>
      </c>
      <c r="B21" s="10">
        <f>L26</f>
        <v>299250</v>
      </c>
      <c r="I21" s="23"/>
      <c r="J21" s="23" t="s">
        <v>40</v>
      </c>
      <c r="K21" s="23"/>
      <c r="L21" s="25">
        <f>-MAX(L5-K_capacity,0)*K_premium_price</f>
        <v>0</v>
      </c>
    </row>
    <row r="22" spans="1:12" ht="16" customHeight="1" x14ac:dyDescent="0.2">
      <c r="I22" s="23"/>
      <c r="J22" s="29" t="s">
        <v>41</v>
      </c>
      <c r="K22" s="23"/>
      <c r="L22" s="30">
        <f>-Cost_other_parts*Total_demand</f>
        <v>-1440000</v>
      </c>
    </row>
    <row r="23" spans="1:12" ht="16" customHeight="1" x14ac:dyDescent="0.2">
      <c r="I23" s="23"/>
      <c r="J23" s="29" t="s">
        <v>32</v>
      </c>
      <c r="K23" s="23"/>
      <c r="L23" s="30">
        <f>-Labor_cost*L10</f>
        <v>-281250</v>
      </c>
    </row>
    <row r="24" spans="1:12" ht="16" customHeight="1" x14ac:dyDescent="0.2">
      <c r="I24" s="31" t="s">
        <v>33</v>
      </c>
      <c r="J24" s="26"/>
      <c r="K24" s="26"/>
      <c r="L24" s="32">
        <f>SUM(L19:L23)</f>
        <v>-1846250</v>
      </c>
    </row>
    <row r="25" spans="1:12" ht="16" customHeight="1" x14ac:dyDescent="0.2">
      <c r="I25" s="23"/>
      <c r="J25" s="23"/>
      <c r="K25" s="23"/>
      <c r="L25" s="33"/>
    </row>
    <row r="26" spans="1:12" ht="16" customHeight="1" x14ac:dyDescent="0.2">
      <c r="I26" s="34" t="s">
        <v>35</v>
      </c>
      <c r="J26" s="34"/>
      <c r="K26" s="34"/>
      <c r="L26" s="35">
        <f>L16+L24</f>
        <v>299250</v>
      </c>
    </row>
  </sheetData>
  <mergeCells count="5">
    <mergeCell ref="I1:L1"/>
    <mergeCell ref="I3:J3"/>
    <mergeCell ref="I7:J7"/>
    <mergeCell ref="I12:J12"/>
    <mergeCell ref="I18:J18"/>
  </mergeCells>
  <pageMargins left="0.7" right="0.7" top="0.75" bottom="0.75" header="0.3" footer="0.3"/>
  <pageSetup scale="7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C264-8265-BA45-B5F0-BF211B96A5FE}">
  <sheetPr>
    <pageSetUpPr fitToPage="1"/>
  </sheetPr>
  <dimension ref="A1:L26"/>
  <sheetViews>
    <sheetView showGridLines="0" topLeftCell="A9" zoomScale="116" zoomScaleNormal="85" zoomScalePageLayoutView="125" workbookViewId="0">
      <selection activeCell="B2" sqref="B2"/>
    </sheetView>
  </sheetViews>
  <sheetFormatPr baseColWidth="10" defaultColWidth="8.83203125" defaultRowHeight="16" customHeight="1" x14ac:dyDescent="0.2"/>
  <cols>
    <col min="1" max="1" width="48.5" customWidth="1"/>
    <col min="2" max="2" width="12.1640625" bestFit="1" customWidth="1"/>
    <col min="3" max="3" width="25.5" customWidth="1"/>
    <col min="4" max="4" width="9.33203125" bestFit="1" customWidth="1"/>
    <col min="5" max="6" width="9" bestFit="1" customWidth="1"/>
    <col min="8" max="8" width="8.83203125" customWidth="1"/>
    <col min="9" max="9" width="11.33203125" bestFit="1" customWidth="1"/>
    <col min="10" max="10" width="31.6640625" bestFit="1" customWidth="1"/>
    <col min="11" max="11" width="8.83203125" customWidth="1"/>
    <col min="12" max="12" width="13" bestFit="1" customWidth="1"/>
    <col min="13" max="15" width="8.83203125" customWidth="1"/>
    <col min="17" max="17" width="8.83203125" customWidth="1"/>
  </cols>
  <sheetData>
    <row r="1" spans="1:12" ht="17" x14ac:dyDescent="0.2">
      <c r="A1" s="36" t="s">
        <v>19</v>
      </c>
      <c r="B1" s="37">
        <v>15000</v>
      </c>
      <c r="I1" s="38" t="s">
        <v>26</v>
      </c>
      <c r="J1" s="39"/>
      <c r="K1" s="39"/>
      <c r="L1" s="39"/>
    </row>
    <row r="2" spans="1:12" x14ac:dyDescent="0.2">
      <c r="A2" s="4"/>
      <c r="B2" s="5"/>
      <c r="I2" s="23"/>
      <c r="J2" s="23"/>
      <c r="K2" s="23"/>
      <c r="L2" s="23"/>
    </row>
    <row r="3" spans="1:12" x14ac:dyDescent="0.2">
      <c r="A3" s="4" t="s">
        <v>18</v>
      </c>
      <c r="B3" s="6">
        <v>2</v>
      </c>
      <c r="I3" s="40" t="s">
        <v>23</v>
      </c>
      <c r="J3" s="40"/>
      <c r="K3" s="24"/>
      <c r="L3" s="24"/>
    </row>
    <row r="4" spans="1:12" x14ac:dyDescent="0.2">
      <c r="A4" s="4" t="s">
        <v>36</v>
      </c>
      <c r="B4" s="6">
        <v>22</v>
      </c>
      <c r="I4" s="23"/>
      <c r="J4" s="23" t="s">
        <v>21</v>
      </c>
      <c r="K4" s="23"/>
      <c r="L4" s="23">
        <f>MIN(Total_demand*2,MAX(0,Time_to_delivery-T_starting_day-Time_assemble_test)*T_daily_capacity)</f>
        <v>25000</v>
      </c>
    </row>
    <row r="5" spans="1:12" x14ac:dyDescent="0.2">
      <c r="A5" s="4" t="s">
        <v>7</v>
      </c>
      <c r="B5" s="6">
        <v>16000</v>
      </c>
      <c r="D5" s="2"/>
      <c r="F5" s="2"/>
      <c r="I5" s="23"/>
      <c r="J5" s="23" t="s">
        <v>20</v>
      </c>
      <c r="K5" s="23"/>
      <c r="L5" s="23">
        <f>Order_quant</f>
        <v>15000</v>
      </c>
    </row>
    <row r="6" spans="1:12" x14ac:dyDescent="0.2">
      <c r="A6" s="4" t="s">
        <v>6</v>
      </c>
      <c r="B6" s="6">
        <v>95</v>
      </c>
      <c r="C6" t="s">
        <v>5</v>
      </c>
      <c r="D6" s="2"/>
      <c r="F6" s="2"/>
      <c r="I6" s="23"/>
      <c r="J6" s="23"/>
      <c r="K6" s="23"/>
      <c r="L6" s="23"/>
    </row>
    <row r="7" spans="1:12" x14ac:dyDescent="0.2">
      <c r="A7" s="4" t="s">
        <v>1</v>
      </c>
      <c r="B7" s="6">
        <v>8</v>
      </c>
      <c r="I7" s="40" t="s">
        <v>28</v>
      </c>
      <c r="J7" s="40"/>
      <c r="K7" s="24"/>
      <c r="L7" s="24"/>
    </row>
    <row r="8" spans="1:12" x14ac:dyDescent="0.2">
      <c r="A8" s="4" t="s">
        <v>38</v>
      </c>
      <c r="B8" s="6">
        <v>10</v>
      </c>
      <c r="I8" s="23"/>
      <c r="J8" s="23" t="s">
        <v>29</v>
      </c>
      <c r="K8" s="23"/>
      <c r="L8" s="23">
        <f>Total_demand</f>
        <v>16000</v>
      </c>
    </row>
    <row r="9" spans="1:12" ht="17" thickBot="1" x14ac:dyDescent="0.25">
      <c r="A9" s="4" t="s">
        <v>37</v>
      </c>
      <c r="B9" s="6">
        <v>15000</v>
      </c>
      <c r="I9" s="23"/>
      <c r="J9" s="23" t="s">
        <v>31</v>
      </c>
      <c r="K9" s="23"/>
      <c r="L9" s="23">
        <f>(L4+L5)</f>
        <v>40000</v>
      </c>
    </row>
    <row r="10" spans="1:12" x14ac:dyDescent="0.2">
      <c r="A10" s="11"/>
      <c r="B10" s="12"/>
      <c r="C10" s="13"/>
      <c r="D10" s="14" t="s">
        <v>17</v>
      </c>
      <c r="E10" s="14" t="s">
        <v>16</v>
      </c>
      <c r="F10" s="15" t="s">
        <v>15</v>
      </c>
      <c r="I10" s="23"/>
      <c r="J10" s="23" t="s">
        <v>30</v>
      </c>
      <c r="K10" s="23"/>
      <c r="L10" s="23">
        <f xml:space="preserve"> MIN(L9/2, L8)</f>
        <v>16000</v>
      </c>
    </row>
    <row r="11" spans="1:12" x14ac:dyDescent="0.2">
      <c r="A11" s="4" t="s">
        <v>14</v>
      </c>
      <c r="B11" s="6">
        <v>35</v>
      </c>
      <c r="C11" t="s">
        <v>13</v>
      </c>
      <c r="D11">
        <v>28</v>
      </c>
      <c r="E11">
        <v>35</v>
      </c>
      <c r="F11" s="6">
        <v>42</v>
      </c>
      <c r="I11" s="23"/>
      <c r="J11" s="23"/>
      <c r="K11" s="23"/>
      <c r="L11" s="23"/>
    </row>
    <row r="12" spans="1:12" x14ac:dyDescent="0.2">
      <c r="A12" s="4" t="s">
        <v>12</v>
      </c>
      <c r="B12" s="6">
        <v>1000</v>
      </c>
      <c r="D12">
        <v>500</v>
      </c>
      <c r="E12">
        <v>1000</v>
      </c>
      <c r="F12" s="6">
        <v>1000</v>
      </c>
      <c r="I12" s="40" t="s">
        <v>25</v>
      </c>
      <c r="J12" s="40"/>
      <c r="K12" s="24"/>
      <c r="L12" s="24"/>
    </row>
    <row r="13" spans="1:12" x14ac:dyDescent="0.2">
      <c r="A13" s="4" t="s">
        <v>11</v>
      </c>
      <c r="B13" s="21">
        <v>7</v>
      </c>
      <c r="D13" s="1">
        <v>6.7</v>
      </c>
      <c r="E13" s="1">
        <v>7</v>
      </c>
      <c r="F13" s="16">
        <v>7.3</v>
      </c>
      <c r="I13" s="23"/>
      <c r="J13" s="23" t="s">
        <v>27</v>
      </c>
      <c r="K13" s="23"/>
      <c r="L13" s="25">
        <f>L10*Revenue_per_unit*Conversion_rate</f>
        <v>2464000</v>
      </c>
    </row>
    <row r="14" spans="1:12" x14ac:dyDescent="0.2">
      <c r="A14" s="4" t="s">
        <v>10</v>
      </c>
      <c r="B14" s="6">
        <v>90</v>
      </c>
      <c r="D14">
        <v>89.5</v>
      </c>
      <c r="E14">
        <v>90</v>
      </c>
      <c r="F14" s="6">
        <v>90.5</v>
      </c>
      <c r="I14" s="23"/>
      <c r="J14" s="23" t="s">
        <v>43</v>
      </c>
      <c r="K14" s="23"/>
      <c r="L14" s="25">
        <f>(L9-2*L10)*Salvage_value_eyep</f>
        <v>24000</v>
      </c>
    </row>
    <row r="15" spans="1:12" x14ac:dyDescent="0.2">
      <c r="A15" s="4" t="s">
        <v>9</v>
      </c>
      <c r="B15" s="6">
        <v>22.5</v>
      </c>
      <c r="D15">
        <v>18</v>
      </c>
      <c r="E15">
        <v>22.5</v>
      </c>
      <c r="F15" s="6">
        <v>25.5</v>
      </c>
      <c r="I15" s="23"/>
      <c r="J15" s="23" t="s">
        <v>42</v>
      </c>
      <c r="K15" s="23"/>
      <c r="L15" s="25">
        <f>(Total_demand-L10)*Salvage_value_other</f>
        <v>0</v>
      </c>
    </row>
    <row r="16" spans="1:12" x14ac:dyDescent="0.2">
      <c r="A16" s="4" t="s">
        <v>8</v>
      </c>
      <c r="B16" s="6">
        <v>3</v>
      </c>
      <c r="C16" s="3"/>
      <c r="D16">
        <v>2</v>
      </c>
      <c r="E16">
        <v>3</v>
      </c>
      <c r="F16" s="6">
        <v>5</v>
      </c>
      <c r="I16" s="26" t="s">
        <v>34</v>
      </c>
      <c r="J16" s="26"/>
      <c r="K16" s="26"/>
      <c r="L16" s="27">
        <f>SUM(L13:L15)</f>
        <v>2488000</v>
      </c>
    </row>
    <row r="17" spans="1:12" x14ac:dyDescent="0.2">
      <c r="A17" s="7" t="s">
        <v>44</v>
      </c>
      <c r="B17" s="8">
        <v>63</v>
      </c>
      <c r="C17" s="2"/>
      <c r="D17" s="1">
        <v>60</v>
      </c>
      <c r="E17" s="1">
        <v>63</v>
      </c>
      <c r="F17" s="16">
        <v>70</v>
      </c>
      <c r="I17" s="23"/>
      <c r="J17" s="23"/>
      <c r="K17" s="23"/>
      <c r="L17" s="25"/>
    </row>
    <row r="18" spans="1:12" x14ac:dyDescent="0.2">
      <c r="A18" s="7" t="s">
        <v>4</v>
      </c>
      <c r="B18" s="5">
        <v>35</v>
      </c>
      <c r="C18" t="s">
        <v>3</v>
      </c>
      <c r="D18">
        <v>33</v>
      </c>
      <c r="E18">
        <v>35</v>
      </c>
      <c r="F18" s="6">
        <v>35</v>
      </c>
      <c r="I18" s="40" t="s">
        <v>22</v>
      </c>
      <c r="J18" s="40"/>
      <c r="K18" s="24"/>
      <c r="L18" s="28"/>
    </row>
    <row r="19" spans="1:12" ht="17" thickBot="1" x14ac:dyDescent="0.25">
      <c r="A19" s="17" t="s">
        <v>2</v>
      </c>
      <c r="B19" s="18">
        <v>5</v>
      </c>
      <c r="C19" s="19"/>
      <c r="D19" s="19">
        <v>4.5</v>
      </c>
      <c r="E19" s="19">
        <v>5</v>
      </c>
      <c r="F19" s="20">
        <v>5</v>
      </c>
      <c r="I19" s="23"/>
      <c r="J19" s="23" t="s">
        <v>24</v>
      </c>
      <c r="K19" s="23"/>
      <c r="L19" s="25">
        <f>-L4*T_price</f>
        <v>-125000</v>
      </c>
    </row>
    <row r="20" spans="1:12" x14ac:dyDescent="0.2">
      <c r="A20" s="4"/>
      <c r="B20" s="6"/>
      <c r="I20" s="23"/>
      <c r="J20" s="23" t="s">
        <v>39</v>
      </c>
      <c r="K20" s="23"/>
      <c r="L20" s="25">
        <f>-K_price*MIN(K_capacity, L5)</f>
        <v>-120000</v>
      </c>
    </row>
    <row r="21" spans="1:12" ht="17" thickBot="1" x14ac:dyDescent="0.25">
      <c r="A21" s="9" t="s">
        <v>0</v>
      </c>
      <c r="B21" s="10">
        <f>L26</f>
        <v>443000</v>
      </c>
      <c r="I21" s="23"/>
      <c r="J21" s="23" t="s">
        <v>40</v>
      </c>
      <c r="K21" s="23"/>
      <c r="L21" s="25">
        <f>-MAX(L5-K_capacity,0)*K_premium_price</f>
        <v>0</v>
      </c>
    </row>
    <row r="22" spans="1:12" ht="16" customHeight="1" x14ac:dyDescent="0.2">
      <c r="I22" s="23"/>
      <c r="J22" s="29" t="s">
        <v>41</v>
      </c>
      <c r="K22" s="23"/>
      <c r="L22" s="30">
        <f>-Cost_other_parts*Total_demand</f>
        <v>-1440000</v>
      </c>
    </row>
    <row r="23" spans="1:12" ht="16" customHeight="1" x14ac:dyDescent="0.2">
      <c r="I23" s="23"/>
      <c r="J23" s="29" t="s">
        <v>32</v>
      </c>
      <c r="K23" s="23"/>
      <c r="L23" s="30">
        <f>-Labor_cost*L10</f>
        <v>-360000</v>
      </c>
    </row>
    <row r="24" spans="1:12" ht="16" customHeight="1" x14ac:dyDescent="0.2">
      <c r="I24" s="31" t="s">
        <v>33</v>
      </c>
      <c r="J24" s="26"/>
      <c r="K24" s="26"/>
      <c r="L24" s="32">
        <f>SUM(L19:L23)</f>
        <v>-2045000</v>
      </c>
    </row>
    <row r="25" spans="1:12" ht="16" customHeight="1" x14ac:dyDescent="0.2">
      <c r="I25" s="23"/>
      <c r="J25" s="23"/>
      <c r="K25" s="23"/>
      <c r="L25" s="33"/>
    </row>
    <row r="26" spans="1:12" ht="16" customHeight="1" x14ac:dyDescent="0.2">
      <c r="I26" s="34" t="s">
        <v>35</v>
      </c>
      <c r="J26" s="34"/>
      <c r="K26" s="34"/>
      <c r="L26" s="35">
        <f>L16+L24</f>
        <v>443000</v>
      </c>
    </row>
  </sheetData>
  <mergeCells count="5">
    <mergeCell ref="I1:L1"/>
    <mergeCell ref="I3:J3"/>
    <mergeCell ref="I7:J7"/>
    <mergeCell ref="I12:J12"/>
    <mergeCell ref="I18:J18"/>
  </mergeCells>
  <pageMargins left="0.7" right="0.7" top="0.75" bottom="0.75" header="0.3" footer="0.3"/>
  <pageSetup scale="7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17E-FE75-964F-9CE4-72D378378447}">
  <sheetPr>
    <pageSetUpPr fitToPage="1"/>
  </sheetPr>
  <dimension ref="A1:I45"/>
  <sheetViews>
    <sheetView topLeftCell="A21" zoomScale="213" workbookViewId="0"/>
  </sheetViews>
  <sheetFormatPr baseColWidth="10" defaultRowHeight="16" x14ac:dyDescent="0.2"/>
  <cols>
    <col min="1" max="1" width="50.5" bestFit="1" customWidth="1"/>
    <col min="2" max="2" width="10.6640625" bestFit="1" customWidth="1"/>
    <col min="3" max="3" width="9.5" bestFit="1" customWidth="1"/>
    <col min="4" max="4" width="11" bestFit="1" customWidth="1"/>
    <col min="5" max="8" width="12.1640625" bestFit="1" customWidth="1"/>
    <col min="9" max="9" width="8.1640625" bestFit="1" customWidth="1"/>
  </cols>
  <sheetData>
    <row r="1" spans="1:9" x14ac:dyDescent="0.2">
      <c r="A1" s="41" t="s">
        <v>63</v>
      </c>
    </row>
    <row r="2" spans="1:9" x14ac:dyDescent="0.2">
      <c r="A2" t="s">
        <v>46</v>
      </c>
      <c r="I2" s="42" t="s">
        <v>45</v>
      </c>
    </row>
    <row r="3" spans="1:9" x14ac:dyDescent="0.2">
      <c r="A3" t="s">
        <v>47</v>
      </c>
    </row>
    <row r="5" spans="1:9" x14ac:dyDescent="0.2">
      <c r="A5" s="43" t="s">
        <v>48</v>
      </c>
      <c r="B5" s="44">
        <v>46061</v>
      </c>
      <c r="E5" s="43" t="s">
        <v>50</v>
      </c>
      <c r="F5" t="s">
        <v>51</v>
      </c>
    </row>
    <row r="6" spans="1:9" x14ac:dyDescent="0.2">
      <c r="A6" s="43" t="s">
        <v>49</v>
      </c>
      <c r="B6" s="45">
        <v>0.59864583333333332</v>
      </c>
      <c r="E6" s="43" t="s">
        <v>52</v>
      </c>
      <c r="F6" t="s">
        <v>64</v>
      </c>
    </row>
    <row r="8" spans="1:9" x14ac:dyDescent="0.2">
      <c r="E8" s="51" t="s">
        <v>0</v>
      </c>
      <c r="F8" s="51"/>
      <c r="G8" s="51"/>
    </row>
    <row r="9" spans="1:9" x14ac:dyDescent="0.2">
      <c r="B9" s="52" t="s">
        <v>54</v>
      </c>
      <c r="C9" s="51"/>
      <c r="D9" s="51"/>
      <c r="E9" s="52" t="s">
        <v>55</v>
      </c>
      <c r="F9" s="51"/>
      <c r="G9" s="51"/>
      <c r="I9" s="43" t="s">
        <v>56</v>
      </c>
    </row>
    <row r="10" spans="1:9" x14ac:dyDescent="0.2">
      <c r="A10" s="58" t="s">
        <v>57</v>
      </c>
      <c r="B10" s="53" t="s">
        <v>60</v>
      </c>
      <c r="C10" s="53" t="s">
        <v>61</v>
      </c>
      <c r="D10" s="63" t="s">
        <v>62</v>
      </c>
      <c r="E10" s="53" t="s">
        <v>17</v>
      </c>
      <c r="F10" s="53" t="s">
        <v>16</v>
      </c>
      <c r="G10" s="63" t="s">
        <v>15</v>
      </c>
      <c r="H10" s="53" t="s">
        <v>58</v>
      </c>
      <c r="I10" s="53" t="s">
        <v>59</v>
      </c>
    </row>
    <row r="11" spans="1:9" x14ac:dyDescent="0.2">
      <c r="A11" s="54" t="s">
        <v>11</v>
      </c>
      <c r="B11" s="1">
        <v>6.7</v>
      </c>
      <c r="C11" s="1">
        <v>7</v>
      </c>
      <c r="D11" s="68">
        <v>7.3</v>
      </c>
      <c r="E11" s="49">
        <v>337400</v>
      </c>
      <c r="F11" s="49">
        <v>443000</v>
      </c>
      <c r="G11" s="64">
        <v>548600</v>
      </c>
      <c r="H11" s="49">
        <v>211200</v>
      </c>
      <c r="I11" s="46">
        <v>0.6014527712075175</v>
      </c>
    </row>
    <row r="12" spans="1:9" x14ac:dyDescent="0.2">
      <c r="A12" s="55" t="s">
        <v>9</v>
      </c>
      <c r="B12" s="47">
        <v>25.5</v>
      </c>
      <c r="C12" s="47">
        <v>22.5</v>
      </c>
      <c r="D12" s="60">
        <v>18</v>
      </c>
      <c r="E12" s="49">
        <v>395000</v>
      </c>
      <c r="F12" s="49">
        <v>443000</v>
      </c>
      <c r="G12" s="65">
        <v>515000</v>
      </c>
      <c r="H12" s="49">
        <v>120000</v>
      </c>
      <c r="I12" s="46">
        <v>0.19416734607680705</v>
      </c>
    </row>
    <row r="13" spans="1:9" x14ac:dyDescent="0.2">
      <c r="A13" s="55" t="s">
        <v>12</v>
      </c>
      <c r="B13" s="47">
        <v>500</v>
      </c>
      <c r="C13" s="47">
        <v>1000</v>
      </c>
      <c r="D13" s="60">
        <v>1000</v>
      </c>
      <c r="E13" s="49">
        <v>327375</v>
      </c>
      <c r="F13" s="49">
        <v>443000</v>
      </c>
      <c r="G13" s="65">
        <v>443000</v>
      </c>
      <c r="H13" s="49">
        <v>115625</v>
      </c>
      <c r="I13" s="46">
        <v>0.1802673996169358</v>
      </c>
    </row>
    <row r="14" spans="1:9" x14ac:dyDescent="0.2">
      <c r="A14" s="55" t="s">
        <v>14</v>
      </c>
      <c r="B14" s="47">
        <v>28</v>
      </c>
      <c r="C14" s="47">
        <v>35</v>
      </c>
      <c r="D14" s="60">
        <v>42</v>
      </c>
      <c r="E14" s="49">
        <v>429000</v>
      </c>
      <c r="F14" s="49">
        <v>443000</v>
      </c>
      <c r="G14" s="65">
        <v>457000</v>
      </c>
      <c r="H14" s="49">
        <v>28000</v>
      </c>
      <c r="I14" s="46">
        <v>1.0571333286403939E-2</v>
      </c>
    </row>
    <row r="15" spans="1:9" x14ac:dyDescent="0.2">
      <c r="A15" s="55" t="s">
        <v>8</v>
      </c>
      <c r="B15" s="47">
        <v>2</v>
      </c>
      <c r="C15" s="47">
        <v>3</v>
      </c>
      <c r="D15" s="60">
        <v>5</v>
      </c>
      <c r="E15" s="49">
        <v>435000</v>
      </c>
      <c r="F15" s="49">
        <v>443000</v>
      </c>
      <c r="G15" s="65">
        <v>459000</v>
      </c>
      <c r="H15" s="49">
        <v>24000</v>
      </c>
      <c r="I15" s="46">
        <v>7.766693843072282E-3</v>
      </c>
    </row>
    <row r="16" spans="1:9" x14ac:dyDescent="0.2">
      <c r="A16" s="55" t="s">
        <v>10</v>
      </c>
      <c r="B16" s="47">
        <v>90.5</v>
      </c>
      <c r="C16" s="47">
        <v>90</v>
      </c>
      <c r="D16" s="60">
        <v>89.5</v>
      </c>
      <c r="E16" s="49">
        <v>435000</v>
      </c>
      <c r="F16" s="49">
        <v>443000</v>
      </c>
      <c r="G16" s="65">
        <v>451000</v>
      </c>
      <c r="H16" s="49">
        <v>16000</v>
      </c>
      <c r="I16" s="46">
        <v>3.4518639302543478E-3</v>
      </c>
    </row>
    <row r="17" spans="1:9" x14ac:dyDescent="0.2">
      <c r="A17" s="56" t="s">
        <v>2</v>
      </c>
      <c r="B17" s="50">
        <v>5</v>
      </c>
      <c r="C17" s="50">
        <v>5</v>
      </c>
      <c r="D17" s="60">
        <v>4.5</v>
      </c>
      <c r="E17" s="49">
        <v>443000</v>
      </c>
      <c r="F17" s="49">
        <v>443000</v>
      </c>
      <c r="G17" s="65">
        <v>455500</v>
      </c>
      <c r="H17" s="49">
        <v>12500</v>
      </c>
      <c r="I17" s="46">
        <v>2.1068505433681321E-3</v>
      </c>
    </row>
    <row r="18" spans="1:9" x14ac:dyDescent="0.2">
      <c r="A18" s="56" t="s">
        <v>4</v>
      </c>
      <c r="B18" s="47">
        <v>33</v>
      </c>
      <c r="C18" s="47">
        <v>35</v>
      </c>
      <c r="D18" s="60">
        <v>35</v>
      </c>
      <c r="E18" s="49">
        <v>439000</v>
      </c>
      <c r="F18" s="49">
        <v>443000</v>
      </c>
      <c r="G18" s="65">
        <v>443000</v>
      </c>
      <c r="H18" s="49">
        <v>4000</v>
      </c>
      <c r="I18" s="46">
        <v>2.1574149564089674E-4</v>
      </c>
    </row>
    <row r="19" spans="1:9" ht="17" thickBot="1" x14ac:dyDescent="0.25">
      <c r="A19" s="67" t="s">
        <v>44</v>
      </c>
      <c r="B19" s="66">
        <v>60</v>
      </c>
      <c r="C19" s="66">
        <v>63</v>
      </c>
      <c r="D19" s="69">
        <v>70</v>
      </c>
      <c r="E19" s="49">
        <v>443000</v>
      </c>
      <c r="F19" s="49">
        <v>443000</v>
      </c>
      <c r="G19" s="65">
        <v>443000</v>
      </c>
      <c r="H19" s="49">
        <v>0</v>
      </c>
      <c r="I19" s="46">
        <v>0</v>
      </c>
    </row>
    <row r="45" spans="9:9" x14ac:dyDescent="0.2">
      <c r="I45" s="42" t="s">
        <v>45</v>
      </c>
    </row>
  </sheetData>
  <sortState xmlns:xlrd2="http://schemas.microsoft.com/office/spreadsheetml/2017/richdata2" ref="A11:I19">
    <sortCondition descending="1" ref="H11"/>
  </sortState>
  <pageMargins left="0.7" right="0.7" top="0.75" bottom="0.75" header="0.3" footer="0.3"/>
  <pageSetup fitToHeight="0" orientation="portrait" horizontalDpi="0" verticalDpi="0"/>
  <headerFooter>
    <oddFooter>&amp;L&amp;"Arial,Bold"SensIt Student Version, Not Licensed For Commercial Use&amp;R&amp;"Arial,Bold"&amp;10TreePlan.com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B7D1-9EB8-C74A-A9A7-2D01863AA8FB}">
  <sheetPr>
    <pageSetUpPr fitToPage="1"/>
  </sheetPr>
  <dimension ref="A1:I45"/>
  <sheetViews>
    <sheetView tabSelected="1" zoomScale="150" workbookViewId="0"/>
  </sheetViews>
  <sheetFormatPr baseColWidth="10" defaultRowHeight="16" x14ac:dyDescent="0.2"/>
  <cols>
    <col min="1" max="1" width="50.5" bestFit="1" customWidth="1"/>
    <col min="2" max="2" width="10.6640625" bestFit="1" customWidth="1"/>
    <col min="3" max="3" width="9.5" bestFit="1" customWidth="1"/>
    <col min="4" max="4" width="11" bestFit="1" customWidth="1"/>
    <col min="5" max="8" width="12.1640625" bestFit="1" customWidth="1"/>
    <col min="9" max="9" width="8.1640625" bestFit="1" customWidth="1"/>
  </cols>
  <sheetData>
    <row r="1" spans="1:9" x14ac:dyDescent="0.2">
      <c r="A1" s="41" t="s">
        <v>63</v>
      </c>
    </row>
    <row r="2" spans="1:9" x14ac:dyDescent="0.2">
      <c r="A2" t="s">
        <v>46</v>
      </c>
      <c r="I2" s="42" t="s">
        <v>45</v>
      </c>
    </row>
    <row r="3" spans="1:9" x14ac:dyDescent="0.2">
      <c r="A3" t="s">
        <v>47</v>
      </c>
    </row>
    <row r="5" spans="1:9" x14ac:dyDescent="0.2">
      <c r="A5" s="43" t="s">
        <v>48</v>
      </c>
      <c r="B5" s="44">
        <v>46061</v>
      </c>
      <c r="E5" s="43" t="s">
        <v>50</v>
      </c>
      <c r="F5" t="s">
        <v>51</v>
      </c>
    </row>
    <row r="6" spans="1:9" x14ac:dyDescent="0.2">
      <c r="A6" s="43" t="s">
        <v>49</v>
      </c>
      <c r="B6" s="45">
        <v>0.59540509259259256</v>
      </c>
      <c r="E6" s="43" t="s">
        <v>52</v>
      </c>
      <c r="F6" t="s">
        <v>53</v>
      </c>
    </row>
    <row r="8" spans="1:9" x14ac:dyDescent="0.2">
      <c r="E8" s="51" t="s">
        <v>0</v>
      </c>
      <c r="F8" s="51"/>
      <c r="G8" s="51"/>
    </row>
    <row r="9" spans="1:9" x14ac:dyDescent="0.2">
      <c r="B9" s="52" t="s">
        <v>54</v>
      </c>
      <c r="C9" s="51"/>
      <c r="D9" s="51"/>
      <c r="E9" s="52" t="s">
        <v>55</v>
      </c>
      <c r="F9" s="51"/>
      <c r="G9" s="51"/>
      <c r="I9" s="43" t="s">
        <v>56</v>
      </c>
    </row>
    <row r="10" spans="1:9" x14ac:dyDescent="0.2">
      <c r="A10" s="58" t="s">
        <v>57</v>
      </c>
      <c r="B10" s="53" t="s">
        <v>60</v>
      </c>
      <c r="C10" s="53" t="s">
        <v>61</v>
      </c>
      <c r="D10" s="63" t="s">
        <v>62</v>
      </c>
      <c r="E10" s="53" t="s">
        <v>17</v>
      </c>
      <c r="F10" s="53" t="s">
        <v>16</v>
      </c>
      <c r="G10" s="63" t="s">
        <v>15</v>
      </c>
      <c r="H10" s="53" t="s">
        <v>58</v>
      </c>
      <c r="I10" s="53" t="s">
        <v>59</v>
      </c>
    </row>
    <row r="11" spans="1:9" x14ac:dyDescent="0.2">
      <c r="A11" s="54" t="s">
        <v>14</v>
      </c>
      <c r="B11" s="47">
        <v>42</v>
      </c>
      <c r="C11" s="47">
        <v>35</v>
      </c>
      <c r="D11" s="59">
        <v>28</v>
      </c>
      <c r="E11" s="49">
        <v>94500</v>
      </c>
      <c r="F11" s="49">
        <v>299250</v>
      </c>
      <c r="G11" s="64">
        <v>504000</v>
      </c>
      <c r="H11" s="49">
        <v>409500</v>
      </c>
      <c r="I11" s="46">
        <v>0.48968455697027297</v>
      </c>
    </row>
    <row r="12" spans="1:9" x14ac:dyDescent="0.2">
      <c r="A12" s="55" t="s">
        <v>12</v>
      </c>
      <c r="B12" s="47">
        <v>500</v>
      </c>
      <c r="C12" s="47">
        <v>1000</v>
      </c>
      <c r="D12" s="60">
        <v>1000</v>
      </c>
      <c r="E12" s="49">
        <v>-66375</v>
      </c>
      <c r="F12" s="49">
        <v>299250</v>
      </c>
      <c r="G12" s="65">
        <v>299250</v>
      </c>
      <c r="H12" s="49">
        <v>365625</v>
      </c>
      <c r="I12" s="46">
        <v>0.39037353074798548</v>
      </c>
    </row>
    <row r="13" spans="1:9" x14ac:dyDescent="0.2">
      <c r="A13" s="55" t="s">
        <v>11</v>
      </c>
      <c r="B13" s="1">
        <v>6.7</v>
      </c>
      <c r="C13" s="1">
        <v>7</v>
      </c>
      <c r="D13" s="61">
        <v>7.3</v>
      </c>
      <c r="E13" s="49">
        <v>216750</v>
      </c>
      <c r="F13" s="49">
        <v>299250</v>
      </c>
      <c r="G13" s="65">
        <v>381750</v>
      </c>
      <c r="H13" s="49">
        <v>165000</v>
      </c>
      <c r="I13" s="46">
        <v>7.9501712613080852E-2</v>
      </c>
    </row>
    <row r="14" spans="1:9" x14ac:dyDescent="0.2">
      <c r="A14" s="55" t="s">
        <v>9</v>
      </c>
      <c r="B14" s="47">
        <v>25.5</v>
      </c>
      <c r="C14" s="47">
        <v>22.5</v>
      </c>
      <c r="D14" s="60">
        <v>18</v>
      </c>
      <c r="E14" s="49">
        <v>261750</v>
      </c>
      <c r="F14" s="49">
        <v>299250</v>
      </c>
      <c r="G14" s="65">
        <v>355500</v>
      </c>
      <c r="H14" s="49">
        <v>93750</v>
      </c>
      <c r="I14" s="46">
        <v>2.5665583875607197E-2</v>
      </c>
    </row>
    <row r="15" spans="1:9" x14ac:dyDescent="0.2">
      <c r="A15" s="56" t="s">
        <v>4</v>
      </c>
      <c r="B15" s="47">
        <v>35</v>
      </c>
      <c r="C15" s="47">
        <v>35</v>
      </c>
      <c r="D15" s="60">
        <v>33</v>
      </c>
      <c r="E15" s="49">
        <v>299250</v>
      </c>
      <c r="F15" s="49">
        <v>299250</v>
      </c>
      <c r="G15" s="65">
        <v>357750</v>
      </c>
      <c r="H15" s="49">
        <v>58500</v>
      </c>
      <c r="I15" s="46">
        <v>9.9935623871484271E-3</v>
      </c>
    </row>
    <row r="16" spans="1:9" x14ac:dyDescent="0.2">
      <c r="A16" s="56" t="s">
        <v>44</v>
      </c>
      <c r="B16" s="1">
        <v>60</v>
      </c>
      <c r="C16" s="1">
        <v>63</v>
      </c>
      <c r="D16" s="61">
        <v>70</v>
      </c>
      <c r="E16" s="49">
        <v>288750</v>
      </c>
      <c r="F16" s="49">
        <v>299250</v>
      </c>
      <c r="G16" s="65">
        <v>323750</v>
      </c>
      <c r="H16" s="49">
        <v>35000</v>
      </c>
      <c r="I16" s="46">
        <v>3.5772120459512963E-3</v>
      </c>
    </row>
    <row r="17" spans="1:9" x14ac:dyDescent="0.2">
      <c r="A17" s="55" t="s">
        <v>10</v>
      </c>
      <c r="B17" s="47">
        <v>90.5</v>
      </c>
      <c r="C17" s="47">
        <v>90</v>
      </c>
      <c r="D17" s="60">
        <v>89.5</v>
      </c>
      <c r="E17" s="49">
        <v>291250</v>
      </c>
      <c r="F17" s="49">
        <v>299250</v>
      </c>
      <c r="G17" s="65">
        <v>307250</v>
      </c>
      <c r="H17" s="49">
        <v>16000</v>
      </c>
      <c r="I17" s="46">
        <v>7.4756431327635249E-4</v>
      </c>
    </row>
    <row r="18" spans="1:9" x14ac:dyDescent="0.2">
      <c r="A18" s="56" t="s">
        <v>2</v>
      </c>
      <c r="B18" s="50">
        <v>5</v>
      </c>
      <c r="C18" s="50">
        <v>5</v>
      </c>
      <c r="D18" s="60">
        <v>4.5</v>
      </c>
      <c r="E18" s="49">
        <v>299250</v>
      </c>
      <c r="F18" s="49">
        <v>299250</v>
      </c>
      <c r="G18" s="65">
        <v>311750</v>
      </c>
      <c r="H18" s="49">
        <v>12500</v>
      </c>
      <c r="I18" s="46">
        <v>4.5627704667746126E-4</v>
      </c>
    </row>
    <row r="19" spans="1:9" ht="17" thickBot="1" x14ac:dyDescent="0.25">
      <c r="A19" s="57" t="s">
        <v>8</v>
      </c>
      <c r="B19" s="48">
        <v>2</v>
      </c>
      <c r="C19" s="48">
        <v>3</v>
      </c>
      <c r="D19" s="62">
        <v>5</v>
      </c>
      <c r="E19" s="49">
        <v>299250</v>
      </c>
      <c r="F19" s="49">
        <v>299250</v>
      </c>
      <c r="G19" s="65">
        <v>299250</v>
      </c>
      <c r="H19" s="49">
        <v>0</v>
      </c>
      <c r="I19" s="46">
        <v>0</v>
      </c>
    </row>
    <row r="45" spans="9:9" x14ac:dyDescent="0.2">
      <c r="I45" s="42" t="s">
        <v>45</v>
      </c>
    </row>
  </sheetData>
  <sortState xmlns:xlrd2="http://schemas.microsoft.com/office/spreadsheetml/2017/richdata2" ref="A11:I19">
    <sortCondition descending="1" ref="H11"/>
  </sortState>
  <pageMargins left="0.7" right="0.7" top="0.75" bottom="0.75" header="0.3" footer="0.3"/>
  <pageSetup fitToHeight="0" orientation="portrait" horizontalDpi="0" verticalDpi="0"/>
  <headerFooter>
    <oddFooter>&amp;L&amp;"Arial,Bold"SensIt Student Version, Not Licensed For Commercial Use&amp;R&amp;"Arial,Bold"&amp;10TreePlan.com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26"/>
  <sheetViews>
    <sheetView showGridLines="0" topLeftCell="A9" zoomScaleNormal="100" zoomScalePageLayoutView="125" workbookViewId="0">
      <selection sqref="A1:D26"/>
    </sheetView>
  </sheetViews>
  <sheetFormatPr baseColWidth="10" defaultColWidth="11" defaultRowHeight="16" customHeight="1" x14ac:dyDescent="0.2"/>
  <cols>
    <col min="1" max="1" width="5.33203125" style="22" customWidth="1"/>
    <col min="2" max="2" width="31.6640625" style="22" bestFit="1" customWidth="1"/>
    <col min="3" max="3" width="25" style="22" customWidth="1"/>
    <col min="4" max="4" width="43.83203125" style="22" bestFit="1" customWidth="1"/>
    <col min="5" max="16384" width="11" style="22"/>
  </cols>
  <sheetData>
    <row r="1" spans="1:4" ht="17" x14ac:dyDescent="0.2">
      <c r="A1" s="38" t="s">
        <v>26</v>
      </c>
      <c r="B1" s="39"/>
      <c r="C1" s="39"/>
      <c r="D1" s="39"/>
    </row>
    <row r="2" spans="1:4" x14ac:dyDescent="0.2">
      <c r="A2" s="23"/>
      <c r="B2" s="23"/>
      <c r="C2" s="23"/>
      <c r="D2" s="23"/>
    </row>
    <row r="3" spans="1:4" x14ac:dyDescent="0.2">
      <c r="A3" s="40" t="s">
        <v>23</v>
      </c>
      <c r="B3" s="40"/>
      <c r="C3" s="24"/>
      <c r="D3" s="24"/>
    </row>
    <row r="4" spans="1:4" x14ac:dyDescent="0.2">
      <c r="A4" s="23"/>
      <c r="B4" s="23" t="s">
        <v>21</v>
      </c>
      <c r="C4" s="23"/>
      <c r="D4" s="23">
        <f>MIN(Total_demand*2,MAX(0,Time_to_delivery-T_starting_day-Time_assemble_test)*T_daily_capacity)</f>
        <v>25000</v>
      </c>
    </row>
    <row r="5" spans="1:4" x14ac:dyDescent="0.2">
      <c r="A5" s="23"/>
      <c r="B5" s="23" t="s">
        <v>20</v>
      </c>
      <c r="C5" s="23"/>
      <c r="D5" s="23">
        <f>Order_quant</f>
        <v>0</v>
      </c>
    </row>
    <row r="6" spans="1:4" x14ac:dyDescent="0.2">
      <c r="A6" s="23"/>
      <c r="B6" s="23"/>
      <c r="C6" s="23"/>
      <c r="D6" s="23"/>
    </row>
    <row r="7" spans="1:4" x14ac:dyDescent="0.2">
      <c r="A7" s="40" t="s">
        <v>28</v>
      </c>
      <c r="B7" s="40"/>
      <c r="C7" s="24"/>
      <c r="D7" s="24"/>
    </row>
    <row r="8" spans="1:4" x14ac:dyDescent="0.2">
      <c r="A8" s="23"/>
      <c r="B8" s="23" t="s">
        <v>29</v>
      </c>
      <c r="C8" s="23"/>
      <c r="D8" s="23">
        <f>Total_demand</f>
        <v>16000</v>
      </c>
    </row>
    <row r="9" spans="1:4" x14ac:dyDescent="0.2">
      <c r="A9" s="23"/>
      <c r="B9" s="23" t="s">
        <v>31</v>
      </c>
      <c r="C9" s="23"/>
      <c r="D9" s="23">
        <f>(D4+D5)</f>
        <v>25000</v>
      </c>
    </row>
    <row r="10" spans="1:4" x14ac:dyDescent="0.2">
      <c r="A10" s="23"/>
      <c r="B10" s="23" t="s">
        <v>30</v>
      </c>
      <c r="C10" s="23"/>
      <c r="D10" s="23">
        <f xml:space="preserve"> MIN(D9/2, D8)</f>
        <v>12500</v>
      </c>
    </row>
    <row r="11" spans="1:4" x14ac:dyDescent="0.2">
      <c r="A11" s="23"/>
      <c r="B11" s="23"/>
      <c r="C11" s="23"/>
      <c r="D11" s="23"/>
    </row>
    <row r="12" spans="1:4" x14ac:dyDescent="0.2">
      <c r="A12" s="40" t="s">
        <v>25</v>
      </c>
      <c r="B12" s="40"/>
      <c r="C12" s="24"/>
      <c r="D12" s="24"/>
    </row>
    <row r="13" spans="1:4" x14ac:dyDescent="0.2">
      <c r="A13" s="23"/>
      <c r="B13" s="23" t="s">
        <v>27</v>
      </c>
      <c r="C13" s="23"/>
      <c r="D13" s="25">
        <f>D10*Revenue_per_unit*Conversion_rate</f>
        <v>1925000</v>
      </c>
    </row>
    <row r="14" spans="1:4" x14ac:dyDescent="0.2">
      <c r="A14" s="23"/>
      <c r="B14" s="23" t="s">
        <v>43</v>
      </c>
      <c r="C14" s="23"/>
      <c r="D14" s="25">
        <f>(D9-2*D10)*Salvage_value_eyep</f>
        <v>0</v>
      </c>
    </row>
    <row r="15" spans="1:4" x14ac:dyDescent="0.2">
      <c r="A15" s="23"/>
      <c r="B15" s="23" t="s">
        <v>42</v>
      </c>
      <c r="C15" s="23"/>
      <c r="D15" s="25">
        <f>(Total_demand-D10)*Salvage_value_other</f>
        <v>220500</v>
      </c>
    </row>
    <row r="16" spans="1:4" x14ac:dyDescent="0.2">
      <c r="A16" s="26" t="s">
        <v>34</v>
      </c>
      <c r="B16" s="26"/>
      <c r="C16" s="26"/>
      <c r="D16" s="27">
        <f>SUM(D13:D15)</f>
        <v>2145500</v>
      </c>
    </row>
    <row r="17" spans="1:4" x14ac:dyDescent="0.2">
      <c r="A17" s="23"/>
      <c r="B17" s="23"/>
      <c r="C17" s="23"/>
      <c r="D17" s="25"/>
    </row>
    <row r="18" spans="1:4" x14ac:dyDescent="0.2">
      <c r="A18" s="40" t="s">
        <v>22</v>
      </c>
      <c r="B18" s="40"/>
      <c r="C18" s="24"/>
      <c r="D18" s="28"/>
    </row>
    <row r="19" spans="1:4" x14ac:dyDescent="0.2">
      <c r="A19" s="23"/>
      <c r="B19" s="23" t="s">
        <v>24</v>
      </c>
      <c r="C19" s="23"/>
      <c r="D19" s="25">
        <f>-D4*T_price</f>
        <v>-125000</v>
      </c>
    </row>
    <row r="20" spans="1:4" x14ac:dyDescent="0.2">
      <c r="A20" s="23"/>
      <c r="B20" s="23" t="s">
        <v>39</v>
      </c>
      <c r="C20" s="23"/>
      <c r="D20" s="25">
        <f>-K_price*MIN(K_capacity, D5)</f>
        <v>0</v>
      </c>
    </row>
    <row r="21" spans="1:4" x14ac:dyDescent="0.2">
      <c r="A21" s="23"/>
      <c r="B21" s="23" t="s">
        <v>40</v>
      </c>
      <c r="C21" s="23"/>
      <c r="D21" s="25">
        <f>-MAX(D5-K_capacity,0)*K_premium_price</f>
        <v>0</v>
      </c>
    </row>
    <row r="22" spans="1:4" x14ac:dyDescent="0.2">
      <c r="A22" s="23"/>
      <c r="B22" s="29" t="s">
        <v>41</v>
      </c>
      <c r="C22" s="23"/>
      <c r="D22" s="30">
        <f>-Cost_other_parts*Total_demand</f>
        <v>-1440000</v>
      </c>
    </row>
    <row r="23" spans="1:4" x14ac:dyDescent="0.2">
      <c r="A23" s="23"/>
      <c r="B23" s="29" t="s">
        <v>32</v>
      </c>
      <c r="C23" s="23"/>
      <c r="D23" s="30">
        <f>-Labor_cost*D10</f>
        <v>-281250</v>
      </c>
    </row>
    <row r="24" spans="1:4" x14ac:dyDescent="0.2">
      <c r="A24" s="31" t="s">
        <v>33</v>
      </c>
      <c r="B24" s="26"/>
      <c r="C24" s="26"/>
      <c r="D24" s="32">
        <f>SUM(D19:D23)</f>
        <v>-1846250</v>
      </c>
    </row>
    <row r="25" spans="1:4" x14ac:dyDescent="0.2">
      <c r="A25" s="23"/>
      <c r="B25" s="23"/>
      <c r="C25" s="23"/>
      <c r="D25" s="33"/>
    </row>
    <row r="26" spans="1:4" x14ac:dyDescent="0.2">
      <c r="A26" s="34" t="s">
        <v>35</v>
      </c>
      <c r="B26" s="34"/>
      <c r="C26" s="34"/>
      <c r="D26" s="35">
        <f>D16+D24</f>
        <v>299250</v>
      </c>
    </row>
  </sheetData>
  <mergeCells count="5">
    <mergeCell ref="A1:D1"/>
    <mergeCell ref="A3:B3"/>
    <mergeCell ref="A7:B7"/>
    <mergeCell ref="A12:B12"/>
    <mergeCell ref="A18:B18"/>
  </mergeCells>
  <printOptions headings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37</vt:i4>
      </vt:variant>
    </vt:vector>
  </HeadingPairs>
  <TitlesOfParts>
    <vt:vector size="42" baseType="lpstr">
      <vt:lpstr>Input_Output</vt:lpstr>
      <vt:lpstr>Input_Output_Second</vt:lpstr>
      <vt:lpstr>SensIt Tornado 2</vt:lpstr>
      <vt:lpstr>SensIt Tornado 1</vt:lpstr>
      <vt:lpstr>Cash Flow</vt:lpstr>
      <vt:lpstr>Input_Output_Second!Conversion_rate</vt:lpstr>
      <vt:lpstr>Conversion_rate</vt:lpstr>
      <vt:lpstr>Input_Output_Second!Cost_other_parts</vt:lpstr>
      <vt:lpstr>Cost_other_parts</vt:lpstr>
      <vt:lpstr>Input_Output_Second!Eyep_per_bino</vt:lpstr>
      <vt:lpstr>Eyep_per_bino</vt:lpstr>
      <vt:lpstr>Input_Output_Second!K_capacity</vt:lpstr>
      <vt:lpstr>K_capacity</vt:lpstr>
      <vt:lpstr>Input_Output_Second!K_premium_price</vt:lpstr>
      <vt:lpstr>K_premium_price</vt:lpstr>
      <vt:lpstr>Input_Output_Second!K_price</vt:lpstr>
      <vt:lpstr>K_price</vt:lpstr>
      <vt:lpstr>Input_Output_Second!Labor_cost</vt:lpstr>
      <vt:lpstr>Labor_cost</vt:lpstr>
      <vt:lpstr>Input_Output_Second!Order_quant</vt:lpstr>
      <vt:lpstr>Order_quant</vt:lpstr>
      <vt:lpstr>'Cash Flow'!Print_Area</vt:lpstr>
      <vt:lpstr>'SensIt Tornado 1'!Print_Area</vt:lpstr>
      <vt:lpstr>'SensIt Tornado 2'!Print_Area</vt:lpstr>
      <vt:lpstr>Input_Output_Second!Revenue_per_unit</vt:lpstr>
      <vt:lpstr>Revenue_per_unit</vt:lpstr>
      <vt:lpstr>Input_Output_Second!Salvage_value_eyep</vt:lpstr>
      <vt:lpstr>Salvage_value_eyep</vt:lpstr>
      <vt:lpstr>Input_Output_Second!Salvage_value_other</vt:lpstr>
      <vt:lpstr>Salvage_value_other</vt:lpstr>
      <vt:lpstr>Input_Output_Second!T_daily_capacity</vt:lpstr>
      <vt:lpstr>T_daily_capacity</vt:lpstr>
      <vt:lpstr>Input_Output_Second!T_price</vt:lpstr>
      <vt:lpstr>T_price</vt:lpstr>
      <vt:lpstr>Input_Output_Second!T_starting_day</vt:lpstr>
      <vt:lpstr>T_starting_day</vt:lpstr>
      <vt:lpstr>Input_Output_Second!Time_assemble_test</vt:lpstr>
      <vt:lpstr>Time_assemble_test</vt:lpstr>
      <vt:lpstr>Input_Output_Second!Time_to_delivery</vt:lpstr>
      <vt:lpstr>Time_to_delivery</vt:lpstr>
      <vt:lpstr>Input_Output_Second!Total_demand</vt:lpstr>
      <vt:lpstr>Total_demand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2020-12-23T16:11:55Z</dcterms:created>
  <dcterms:modified xsi:type="dcterms:W3CDTF">2026-02-08T19:23:16Z</dcterms:modified>
</cp:coreProperties>
</file>